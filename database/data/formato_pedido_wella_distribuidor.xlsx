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diariosvela/Desktop/FORMATOS AGOSTO/Distribuidor SEP/"/>
    </mc:Choice>
  </mc:AlternateContent>
  <xr:revisionPtr revIDLastSave="0" documentId="8_{1C5B7485-E5BA-3440-8449-0E0AA08FBF5D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DISTRIBUIDOR" sheetId="1" r:id="rId1"/>
  </sheets>
  <definedNames>
    <definedName name="_xlnm._FilterDatabase" localSheetId="0" hidden="1">DISTRIBUIDOR!$A$31:$M$584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4" i="1" l="1"/>
  <c r="K614" i="1"/>
  <c r="I611" i="1"/>
  <c r="J609" i="1"/>
  <c r="G613" i="1"/>
  <c r="A613" i="1"/>
  <c r="I612" i="1"/>
  <c r="G610" i="1"/>
  <c r="A610" i="1"/>
  <c r="I609" i="1"/>
  <c r="A697" i="1"/>
  <c r="L661" i="1"/>
  <c r="L614" i="1"/>
  <c r="M614" i="1"/>
  <c r="J612" i="1"/>
  <c r="K611" i="1"/>
  <c r="J661" i="1"/>
  <c r="L611" i="1"/>
  <c r="M611" i="1"/>
  <c r="H280" i="1"/>
  <c r="I280" i="1"/>
  <c r="J280" i="1"/>
  <c r="K280" i="1"/>
  <c r="G662" i="1"/>
  <c r="N629" i="1"/>
  <c r="F629" i="1"/>
  <c r="G631" i="1"/>
  <c r="G630" i="1"/>
  <c r="J629" i="1"/>
  <c r="N615" i="1"/>
  <c r="F615" i="1"/>
  <c r="A693" i="1"/>
  <c r="A690" i="1"/>
  <c r="G670" i="1"/>
  <c r="A647" i="1"/>
  <c r="I638" i="1"/>
  <c r="I637" i="1"/>
  <c r="J635" i="1"/>
  <c r="I635" i="1"/>
  <c r="I632" i="1"/>
  <c r="I634" i="1"/>
  <c r="G633" i="1"/>
  <c r="L280" i="1"/>
  <c r="M280" i="1"/>
  <c r="K638" i="1"/>
  <c r="L638" i="1"/>
  <c r="M638" i="1"/>
  <c r="K637" i="1"/>
  <c r="L637" i="1"/>
  <c r="M637" i="1"/>
  <c r="H489" i="1"/>
  <c r="I433" i="1"/>
  <c r="I478" i="1"/>
  <c r="J478" i="1"/>
  <c r="I479" i="1"/>
  <c r="I480" i="1"/>
  <c r="I481" i="1"/>
  <c r="J481" i="1"/>
  <c r="K481" i="1"/>
  <c r="I542" i="1"/>
  <c r="J542" i="1"/>
  <c r="K542" i="1"/>
  <c r="H433" i="1"/>
  <c r="H481" i="1"/>
  <c r="H480" i="1"/>
  <c r="H479" i="1"/>
  <c r="H478" i="1"/>
  <c r="N540" i="1"/>
  <c r="N541" i="1"/>
  <c r="N542" i="1"/>
  <c r="O542" i="1"/>
  <c r="P542" i="1"/>
  <c r="H542" i="1"/>
  <c r="H541" i="1"/>
  <c r="H540" i="1"/>
  <c r="J433" i="1"/>
  <c r="K433" i="1"/>
  <c r="L481" i="1"/>
  <c r="M481" i="1"/>
  <c r="J480" i="1"/>
  <c r="K480" i="1"/>
  <c r="J479" i="1"/>
  <c r="K479" i="1"/>
  <c r="K478" i="1"/>
  <c r="I541" i="1"/>
  <c r="J541" i="1"/>
  <c r="K541" i="1"/>
  <c r="I540" i="1"/>
  <c r="J540" i="1"/>
  <c r="K540" i="1"/>
  <c r="L542" i="1"/>
  <c r="M542" i="1"/>
  <c r="O541" i="1"/>
  <c r="P541" i="1"/>
  <c r="O540" i="1"/>
  <c r="P540" i="1"/>
  <c r="N523" i="1"/>
  <c r="I523" i="1"/>
  <c r="H523" i="1"/>
  <c r="N522" i="1"/>
  <c r="O522" i="1"/>
  <c r="P522" i="1"/>
  <c r="I522" i="1"/>
  <c r="J522" i="1"/>
  <c r="H522" i="1"/>
  <c r="I492" i="1"/>
  <c r="J492" i="1"/>
  <c r="H492" i="1"/>
  <c r="I491" i="1"/>
  <c r="H491" i="1"/>
  <c r="I490" i="1"/>
  <c r="H490" i="1"/>
  <c r="I488" i="1"/>
  <c r="J488" i="1"/>
  <c r="H488" i="1"/>
  <c r="I487" i="1"/>
  <c r="H487" i="1"/>
  <c r="I486" i="1"/>
  <c r="H486" i="1"/>
  <c r="I485" i="1"/>
  <c r="J485" i="1"/>
  <c r="H485" i="1"/>
  <c r="I484" i="1"/>
  <c r="H484" i="1"/>
  <c r="I483" i="1"/>
  <c r="H483" i="1"/>
  <c r="N490" i="1"/>
  <c r="N489" i="1"/>
  <c r="I489" i="1"/>
  <c r="K489" i="1"/>
  <c r="N488" i="1"/>
  <c r="N487" i="1"/>
  <c r="N486" i="1"/>
  <c r="N485" i="1"/>
  <c r="N484" i="1"/>
  <c r="N483" i="1"/>
  <c r="H494" i="1"/>
  <c r="I494" i="1"/>
  <c r="J494" i="1"/>
  <c r="L433" i="1"/>
  <c r="M433" i="1"/>
  <c r="L480" i="1"/>
  <c r="M480" i="1"/>
  <c r="L479" i="1"/>
  <c r="M479" i="1"/>
  <c r="L478" i="1"/>
  <c r="M478" i="1"/>
  <c r="L541" i="1"/>
  <c r="M541" i="1"/>
  <c r="L540" i="1"/>
  <c r="M540" i="1"/>
  <c r="K522" i="1"/>
  <c r="J523" i="1"/>
  <c r="K523" i="1"/>
  <c r="O523" i="1"/>
  <c r="P523" i="1"/>
  <c r="K492" i="1"/>
  <c r="L492" i="1"/>
  <c r="J491" i="1"/>
  <c r="K491" i="1"/>
  <c r="J490" i="1"/>
  <c r="K490" i="1"/>
  <c r="K488" i="1"/>
  <c r="J487" i="1"/>
  <c r="K487" i="1"/>
  <c r="J486" i="1"/>
  <c r="K486" i="1"/>
  <c r="K485" i="1"/>
  <c r="J484" i="1"/>
  <c r="K484" i="1"/>
  <c r="J483" i="1"/>
  <c r="K483" i="1"/>
  <c r="L489" i="1"/>
  <c r="M489" i="1"/>
  <c r="K494" i="1"/>
  <c r="L523" i="1"/>
  <c r="M523" i="1"/>
  <c r="L522" i="1"/>
  <c r="M522" i="1"/>
  <c r="M492" i="1"/>
  <c r="L491" i="1"/>
  <c r="M491" i="1"/>
  <c r="L490" i="1"/>
  <c r="M490" i="1"/>
  <c r="L488" i="1"/>
  <c r="M488" i="1"/>
  <c r="L487" i="1"/>
  <c r="M487" i="1"/>
  <c r="L486" i="1"/>
  <c r="M486" i="1"/>
  <c r="L485" i="1"/>
  <c r="M485" i="1"/>
  <c r="L484" i="1"/>
  <c r="M484" i="1"/>
  <c r="L483" i="1"/>
  <c r="M483" i="1"/>
  <c r="L494" i="1"/>
  <c r="M494" i="1"/>
  <c r="J632" i="1"/>
  <c r="G660" i="1"/>
  <c r="G665" i="1"/>
  <c r="G657" i="1"/>
  <c r="G664" i="1"/>
  <c r="G655" i="1"/>
  <c r="G663" i="1"/>
  <c r="F660" i="1"/>
  <c r="F659" i="1"/>
  <c r="F658" i="1"/>
  <c r="F656" i="1"/>
  <c r="I583" i="1"/>
  <c r="I582" i="1"/>
  <c r="I581" i="1"/>
  <c r="I580" i="1"/>
  <c r="I579" i="1"/>
  <c r="I578" i="1"/>
  <c r="I576" i="1"/>
  <c r="I575" i="1"/>
  <c r="I574" i="1"/>
  <c r="I573" i="1"/>
  <c r="I572" i="1"/>
  <c r="I571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5" i="1"/>
  <c r="I554" i="1"/>
  <c r="I553" i="1"/>
  <c r="I552" i="1"/>
  <c r="I551" i="1"/>
  <c r="I549" i="1"/>
  <c r="I548" i="1"/>
  <c r="I547" i="1"/>
  <c r="I546" i="1"/>
  <c r="I545" i="1"/>
  <c r="I544" i="1"/>
  <c r="I539" i="1"/>
  <c r="I538" i="1"/>
  <c r="I537" i="1"/>
  <c r="I536" i="1"/>
  <c r="I535" i="1"/>
  <c r="I534" i="1"/>
  <c r="I533" i="1"/>
  <c r="I531" i="1"/>
  <c r="I530" i="1"/>
  <c r="I529" i="1"/>
  <c r="I528" i="1"/>
  <c r="I527" i="1"/>
  <c r="I526" i="1"/>
  <c r="I524" i="1"/>
  <c r="I521" i="1"/>
  <c r="I520" i="1"/>
  <c r="I519" i="1"/>
  <c r="I518" i="1"/>
  <c r="I517" i="1"/>
  <c r="I516" i="1"/>
  <c r="I514" i="1"/>
  <c r="I513" i="1"/>
  <c r="I512" i="1"/>
  <c r="I510" i="1"/>
  <c r="I509" i="1"/>
  <c r="I508" i="1"/>
  <c r="I507" i="1"/>
  <c r="I505" i="1"/>
  <c r="I504" i="1"/>
  <c r="I503" i="1"/>
  <c r="I501" i="1"/>
  <c r="I500" i="1"/>
  <c r="I498" i="1"/>
  <c r="I496" i="1"/>
  <c r="I495" i="1"/>
  <c r="I477" i="1"/>
  <c r="I476" i="1"/>
  <c r="I475" i="1"/>
  <c r="I474" i="1"/>
  <c r="I473" i="1"/>
  <c r="I472" i="1"/>
  <c r="I471" i="1"/>
  <c r="I470" i="1"/>
  <c r="I469" i="1"/>
  <c r="I468" i="1"/>
  <c r="I467" i="1"/>
  <c r="I465" i="1"/>
  <c r="I464" i="1"/>
  <c r="I463" i="1"/>
  <c r="I462" i="1"/>
  <c r="I461" i="1"/>
  <c r="I460" i="1"/>
  <c r="I459" i="1"/>
  <c r="I457" i="1"/>
  <c r="I456" i="1"/>
  <c r="I455" i="1"/>
  <c r="I454" i="1"/>
  <c r="I453" i="1"/>
  <c r="I452" i="1"/>
  <c r="I451" i="1"/>
  <c r="I449" i="1"/>
  <c r="I448" i="1"/>
  <c r="I447" i="1"/>
  <c r="I446" i="1"/>
  <c r="I445" i="1"/>
  <c r="I444" i="1"/>
  <c r="I443" i="1"/>
  <c r="I441" i="1"/>
  <c r="I440" i="1"/>
  <c r="I439" i="1"/>
  <c r="I438" i="1"/>
  <c r="I437" i="1"/>
  <c r="I436" i="1"/>
  <c r="I435" i="1"/>
  <c r="I432" i="1"/>
  <c r="I431" i="1"/>
  <c r="I430" i="1"/>
  <c r="I429" i="1"/>
  <c r="I428" i="1"/>
  <c r="I426" i="1"/>
  <c r="I425" i="1"/>
  <c r="I424" i="1"/>
  <c r="I423" i="1"/>
  <c r="I421" i="1"/>
  <c r="I420" i="1"/>
  <c r="I419" i="1"/>
  <c r="I417" i="1"/>
  <c r="I416" i="1"/>
  <c r="I415" i="1"/>
  <c r="I413" i="1"/>
  <c r="I412" i="1"/>
  <c r="I411" i="1"/>
  <c r="I410" i="1"/>
  <c r="I409" i="1"/>
  <c r="I408" i="1"/>
  <c r="I407" i="1"/>
  <c r="I406" i="1"/>
  <c r="I404" i="1"/>
  <c r="I403" i="1"/>
  <c r="I402" i="1"/>
  <c r="I401" i="1"/>
  <c r="I400" i="1"/>
  <c r="I399" i="1"/>
  <c r="I398" i="1"/>
  <c r="I396" i="1"/>
  <c r="I395" i="1"/>
  <c r="I394" i="1"/>
  <c r="I392" i="1"/>
  <c r="I391" i="1"/>
  <c r="I389" i="1"/>
  <c r="I388" i="1"/>
  <c r="I387" i="1"/>
  <c r="I386" i="1"/>
  <c r="I385" i="1"/>
  <c r="I383" i="1"/>
  <c r="I382" i="1"/>
  <c r="I381" i="1"/>
  <c r="I379" i="1"/>
  <c r="I378" i="1"/>
  <c r="I376" i="1"/>
  <c r="I375" i="1"/>
  <c r="I374" i="1"/>
  <c r="I373" i="1"/>
  <c r="I371" i="1"/>
  <c r="I370" i="1"/>
  <c r="I369" i="1"/>
  <c r="I368" i="1"/>
  <c r="I367" i="1"/>
  <c r="I366" i="1"/>
  <c r="I364" i="1"/>
  <c r="I36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6" i="1"/>
  <c r="I265" i="1"/>
  <c r="I264" i="1"/>
  <c r="I263" i="1"/>
  <c r="I262" i="1"/>
  <c r="I261" i="1"/>
  <c r="I260" i="1"/>
  <c r="I259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A670" i="1"/>
  <c r="G667" i="1"/>
  <c r="F662" i="1"/>
  <c r="I662" i="1"/>
  <c r="I660" i="1"/>
  <c r="I659" i="1"/>
  <c r="I658" i="1"/>
  <c r="F657" i="1"/>
  <c r="I657" i="1"/>
  <c r="I656" i="1"/>
  <c r="F655" i="1"/>
  <c r="A667" i="1"/>
  <c r="I653" i="1"/>
  <c r="J657" i="1"/>
  <c r="K657" i="1"/>
  <c r="J658" i="1"/>
  <c r="K658" i="1"/>
  <c r="J660" i="1"/>
  <c r="K660" i="1"/>
  <c r="J662" i="1"/>
  <c r="K662" i="1"/>
  <c r="J656" i="1"/>
  <c r="K656" i="1"/>
  <c r="J659" i="1"/>
  <c r="K659" i="1"/>
  <c r="I655" i="1"/>
  <c r="J653" i="1"/>
  <c r="L660" i="1"/>
  <c r="M660" i="1"/>
  <c r="L658" i="1"/>
  <c r="M658" i="1"/>
  <c r="L659" i="1"/>
  <c r="M659" i="1"/>
  <c r="L656" i="1"/>
  <c r="M656" i="1"/>
  <c r="L662" i="1"/>
  <c r="M662" i="1"/>
  <c r="L657" i="1"/>
  <c r="M657" i="1"/>
  <c r="J655" i="1"/>
  <c r="K655" i="1"/>
  <c r="A640" i="1"/>
  <c r="J634" i="1"/>
  <c r="A630" i="1"/>
  <c r="L655" i="1"/>
  <c r="M655" i="1"/>
  <c r="I629" i="1"/>
  <c r="K634" i="1"/>
  <c r="L634" i="1"/>
  <c r="M634" i="1"/>
  <c r="G595" i="1"/>
  <c r="A591" i="1"/>
  <c r="A587" i="1"/>
  <c r="I32" i="1"/>
  <c r="H373" i="1"/>
  <c r="J373" i="1"/>
  <c r="K373" i="1"/>
  <c r="G607" i="1"/>
  <c r="G604" i="1"/>
  <c r="I608" i="1"/>
  <c r="J606" i="1"/>
  <c r="I605" i="1"/>
  <c r="J603" i="1"/>
  <c r="I599" i="1"/>
  <c r="J597" i="1"/>
  <c r="I602" i="1"/>
  <c r="J600" i="1"/>
  <c r="G601" i="1"/>
  <c r="G598" i="1"/>
  <c r="I596" i="1"/>
  <c r="J594" i="1"/>
  <c r="L373" i="1"/>
  <c r="M373" i="1"/>
  <c r="A682" i="1"/>
  <c r="A674" i="1"/>
  <c r="A636" i="1"/>
  <c r="A633" i="1"/>
  <c r="A616" i="1"/>
  <c r="K608" i="1"/>
  <c r="A607" i="1"/>
  <c r="I606" i="1"/>
  <c r="A604" i="1"/>
  <c r="I603" i="1"/>
  <c r="L608" i="1"/>
  <c r="M608" i="1"/>
  <c r="K605" i="1"/>
  <c r="A601" i="1"/>
  <c r="I600" i="1"/>
  <c r="A598" i="1"/>
  <c r="I597" i="1"/>
  <c r="A595" i="1"/>
  <c r="I594" i="1"/>
  <c r="L605" i="1"/>
  <c r="M605" i="1"/>
  <c r="K602" i="1"/>
  <c r="L602" i="1"/>
  <c r="M602" i="1"/>
  <c r="K599" i="1"/>
  <c r="L599" i="1"/>
  <c r="M599" i="1"/>
  <c r="K596" i="1"/>
  <c r="L596" i="1"/>
  <c r="M596" i="1"/>
  <c r="N583" i="1"/>
  <c r="O583" i="1"/>
  <c r="P583" i="1"/>
  <c r="N582" i="1"/>
  <c r="O582" i="1"/>
  <c r="P582" i="1"/>
  <c r="N581" i="1"/>
  <c r="N580" i="1"/>
  <c r="O580" i="1"/>
  <c r="N579" i="1"/>
  <c r="O579" i="1"/>
  <c r="P579" i="1"/>
  <c r="N578" i="1"/>
  <c r="N577" i="1"/>
  <c r="N576" i="1"/>
  <c r="O576" i="1"/>
  <c r="P576" i="1"/>
  <c r="N575" i="1"/>
  <c r="O575" i="1"/>
  <c r="P575" i="1"/>
  <c r="N574" i="1"/>
  <c r="O574" i="1"/>
  <c r="P574" i="1"/>
  <c r="N573" i="1"/>
  <c r="N572" i="1"/>
  <c r="O572" i="1"/>
  <c r="N571" i="1"/>
  <c r="O571" i="1"/>
  <c r="P571" i="1"/>
  <c r="N570" i="1"/>
  <c r="O577" i="1"/>
  <c r="P577" i="1"/>
  <c r="P572" i="1"/>
  <c r="P580" i="1"/>
  <c r="O570" i="1"/>
  <c r="P570" i="1"/>
  <c r="O578" i="1"/>
  <c r="P578" i="1"/>
  <c r="O573" i="1"/>
  <c r="P573" i="1"/>
  <c r="O581" i="1"/>
  <c r="P581" i="1"/>
  <c r="H475" i="1"/>
  <c r="K582" i="1"/>
  <c r="L582" i="1"/>
  <c r="M582" i="1"/>
  <c r="J572" i="1"/>
  <c r="H572" i="1"/>
  <c r="H571" i="1"/>
  <c r="H250" i="1"/>
  <c r="K572" i="1"/>
  <c r="J571" i="1"/>
  <c r="K571" i="1"/>
  <c r="J250" i="1"/>
  <c r="K250" i="1"/>
  <c r="L572" i="1"/>
  <c r="M572" i="1"/>
  <c r="L571" i="1"/>
  <c r="M571" i="1"/>
  <c r="L250" i="1"/>
  <c r="M250" i="1"/>
  <c r="J521" i="1"/>
  <c r="H521" i="1"/>
  <c r="J529" i="1"/>
  <c r="H529" i="1"/>
  <c r="H534" i="1"/>
  <c r="J545" i="1"/>
  <c r="H545" i="1"/>
  <c r="H553" i="1"/>
  <c r="J568" i="1"/>
  <c r="H568" i="1"/>
  <c r="H582" i="1"/>
  <c r="K521" i="1"/>
  <c r="K529" i="1"/>
  <c r="J534" i="1"/>
  <c r="K534" i="1"/>
  <c r="K545" i="1"/>
  <c r="J553" i="1"/>
  <c r="K553" i="1"/>
  <c r="K568" i="1"/>
  <c r="L521" i="1"/>
  <c r="M521" i="1"/>
  <c r="L529" i="1"/>
  <c r="M529" i="1"/>
  <c r="L534" i="1"/>
  <c r="M534" i="1"/>
  <c r="L545" i="1"/>
  <c r="M545" i="1"/>
  <c r="L553" i="1"/>
  <c r="M553" i="1"/>
  <c r="L568" i="1"/>
  <c r="M568" i="1"/>
  <c r="J363" i="1"/>
  <c r="K363" i="1"/>
  <c r="L363" i="1"/>
  <c r="M363" i="1"/>
  <c r="J527" i="1"/>
  <c r="K527" i="1"/>
  <c r="J528" i="1"/>
  <c r="K528" i="1"/>
  <c r="L528" i="1"/>
  <c r="M528" i="1"/>
  <c r="J536" i="1"/>
  <c r="K536" i="1"/>
  <c r="L536" i="1"/>
  <c r="M536" i="1"/>
  <c r="J517" i="1"/>
  <c r="K517" i="1"/>
  <c r="J535" i="1"/>
  <c r="K535" i="1"/>
  <c r="L527" i="1"/>
  <c r="M527" i="1"/>
  <c r="J516" i="1"/>
  <c r="K516" i="1"/>
  <c r="J526" i="1"/>
  <c r="K526" i="1"/>
  <c r="L526" i="1"/>
  <c r="M526" i="1"/>
  <c r="J544" i="1"/>
  <c r="K544" i="1"/>
  <c r="L544" i="1"/>
  <c r="M544" i="1"/>
  <c r="J533" i="1"/>
  <c r="K533" i="1"/>
  <c r="J524" i="1"/>
  <c r="K524" i="1"/>
  <c r="L524" i="1"/>
  <c r="M524" i="1"/>
  <c r="J539" i="1"/>
  <c r="K539" i="1"/>
  <c r="L539" i="1"/>
  <c r="M539" i="1"/>
  <c r="J531" i="1"/>
  <c r="K531" i="1"/>
  <c r="L531" i="1"/>
  <c r="M531" i="1"/>
  <c r="J520" i="1"/>
  <c r="K520" i="1"/>
  <c r="J538" i="1"/>
  <c r="K538" i="1"/>
  <c r="J530" i="1"/>
  <c r="K530" i="1"/>
  <c r="J519" i="1"/>
  <c r="K519" i="1"/>
  <c r="L519" i="1"/>
  <c r="M519" i="1"/>
  <c r="J537" i="1"/>
  <c r="K537" i="1"/>
  <c r="J518" i="1"/>
  <c r="K518" i="1"/>
  <c r="J376" i="1"/>
  <c r="K376" i="1"/>
  <c r="J375" i="1"/>
  <c r="K375" i="1"/>
  <c r="L518" i="1"/>
  <c r="M518" i="1"/>
  <c r="L538" i="1"/>
  <c r="M538" i="1"/>
  <c r="L537" i="1"/>
  <c r="M537" i="1"/>
  <c r="L520" i="1"/>
  <c r="M520" i="1"/>
  <c r="L516" i="1"/>
  <c r="M516" i="1"/>
  <c r="L533" i="1"/>
  <c r="M533" i="1"/>
  <c r="L530" i="1"/>
  <c r="M530" i="1"/>
  <c r="L535" i="1"/>
  <c r="M535" i="1"/>
  <c r="L517" i="1"/>
  <c r="M517" i="1"/>
  <c r="L376" i="1"/>
  <c r="M376" i="1"/>
  <c r="L375" i="1"/>
  <c r="M375" i="1"/>
  <c r="H376" i="1"/>
  <c r="H375" i="1"/>
  <c r="H363" i="1"/>
  <c r="H257" i="1"/>
  <c r="J256" i="1"/>
  <c r="K256" i="1"/>
  <c r="H256" i="1"/>
  <c r="H255" i="1"/>
  <c r="H254" i="1"/>
  <c r="J253" i="1"/>
  <c r="K253" i="1"/>
  <c r="H253" i="1"/>
  <c r="J252" i="1"/>
  <c r="K252" i="1"/>
  <c r="H252" i="1"/>
  <c r="H251" i="1"/>
  <c r="H249" i="1"/>
  <c r="J248" i="1"/>
  <c r="K248" i="1"/>
  <c r="H248" i="1"/>
  <c r="L256" i="1"/>
  <c r="M256" i="1"/>
  <c r="L248" i="1"/>
  <c r="M248" i="1"/>
  <c r="L252" i="1"/>
  <c r="M252" i="1"/>
  <c r="L253" i="1"/>
  <c r="M253" i="1"/>
  <c r="J255" i="1"/>
  <c r="K255" i="1"/>
  <c r="J249" i="1"/>
  <c r="K249" i="1"/>
  <c r="J254" i="1"/>
  <c r="K254" i="1"/>
  <c r="J251" i="1"/>
  <c r="K251" i="1"/>
  <c r="J257" i="1"/>
  <c r="K257" i="1"/>
  <c r="L254" i="1"/>
  <c r="M254" i="1"/>
  <c r="L249" i="1"/>
  <c r="M249" i="1"/>
  <c r="L255" i="1"/>
  <c r="M255" i="1"/>
  <c r="L251" i="1"/>
  <c r="M251" i="1"/>
  <c r="L257" i="1"/>
  <c r="M257" i="1"/>
  <c r="H198" i="1"/>
  <c r="J197" i="1"/>
  <c r="K197" i="1"/>
  <c r="H197" i="1"/>
  <c r="H196" i="1"/>
  <c r="H195" i="1"/>
  <c r="H194" i="1"/>
  <c r="J193" i="1"/>
  <c r="K193" i="1"/>
  <c r="H193" i="1"/>
  <c r="H192" i="1"/>
  <c r="H191" i="1"/>
  <c r="H190" i="1"/>
  <c r="J189" i="1"/>
  <c r="K189" i="1"/>
  <c r="H189" i="1"/>
  <c r="H188" i="1"/>
  <c r="J187" i="1"/>
  <c r="H187" i="1"/>
  <c r="H186" i="1"/>
  <c r="J185" i="1"/>
  <c r="K185" i="1"/>
  <c r="H185" i="1"/>
  <c r="H184" i="1"/>
  <c r="J183" i="1"/>
  <c r="K183" i="1"/>
  <c r="H183" i="1"/>
  <c r="H182" i="1"/>
  <c r="J181" i="1"/>
  <c r="K181" i="1"/>
  <c r="H181" i="1"/>
  <c r="J180" i="1"/>
  <c r="H180" i="1"/>
  <c r="H179" i="1"/>
  <c r="J178" i="1"/>
  <c r="K178" i="1"/>
  <c r="H178" i="1"/>
  <c r="J177" i="1"/>
  <c r="K177" i="1"/>
  <c r="H177" i="1"/>
  <c r="J176" i="1"/>
  <c r="H176" i="1"/>
  <c r="H175" i="1"/>
  <c r="J174" i="1"/>
  <c r="K174" i="1"/>
  <c r="H174" i="1"/>
  <c r="J173" i="1"/>
  <c r="K173" i="1"/>
  <c r="H173" i="1"/>
  <c r="J172" i="1"/>
  <c r="H172" i="1"/>
  <c r="H171" i="1"/>
  <c r="J170" i="1"/>
  <c r="K170" i="1"/>
  <c r="H170" i="1"/>
  <c r="J169" i="1"/>
  <c r="K169" i="1"/>
  <c r="H169" i="1"/>
  <c r="J168" i="1"/>
  <c r="H168" i="1"/>
  <c r="J195" i="1"/>
  <c r="K195" i="1"/>
  <c r="L195" i="1"/>
  <c r="M195" i="1"/>
  <c r="J191" i="1"/>
  <c r="K191" i="1"/>
  <c r="L191" i="1"/>
  <c r="M191" i="1"/>
  <c r="J175" i="1"/>
  <c r="K175" i="1"/>
  <c r="L175" i="1"/>
  <c r="M175" i="1"/>
  <c r="J171" i="1"/>
  <c r="K171" i="1"/>
  <c r="L171" i="1"/>
  <c r="M171" i="1"/>
  <c r="J179" i="1"/>
  <c r="K179" i="1"/>
  <c r="L179" i="1"/>
  <c r="M179" i="1"/>
  <c r="K187" i="1"/>
  <c r="L187" i="1"/>
  <c r="M187" i="1"/>
  <c r="L174" i="1"/>
  <c r="M174" i="1"/>
  <c r="L177" i="1"/>
  <c r="M177" i="1"/>
  <c r="L185" i="1"/>
  <c r="M185" i="1"/>
  <c r="L189" i="1"/>
  <c r="M189" i="1"/>
  <c r="L193" i="1"/>
  <c r="M193" i="1"/>
  <c r="L169" i="1"/>
  <c r="M169" i="1"/>
  <c r="L183" i="1"/>
  <c r="M183" i="1"/>
  <c r="L170" i="1"/>
  <c r="M170" i="1"/>
  <c r="L181" i="1"/>
  <c r="M181" i="1"/>
  <c r="L178" i="1"/>
  <c r="M178" i="1"/>
  <c r="L197" i="1"/>
  <c r="M197" i="1"/>
  <c r="L173" i="1"/>
  <c r="M173" i="1"/>
  <c r="J184" i="1"/>
  <c r="K184" i="1"/>
  <c r="J188" i="1"/>
  <c r="K188" i="1"/>
  <c r="J192" i="1"/>
  <c r="K192" i="1"/>
  <c r="J196" i="1"/>
  <c r="K196" i="1"/>
  <c r="K168" i="1"/>
  <c r="K172" i="1"/>
  <c r="K176" i="1"/>
  <c r="K180" i="1"/>
  <c r="J182" i="1"/>
  <c r="K182" i="1"/>
  <c r="J186" i="1"/>
  <c r="K186" i="1"/>
  <c r="J190" i="1"/>
  <c r="K190" i="1"/>
  <c r="J194" i="1"/>
  <c r="K194" i="1"/>
  <c r="J198" i="1"/>
  <c r="K198" i="1"/>
  <c r="L186" i="1"/>
  <c r="M186" i="1"/>
  <c r="L196" i="1"/>
  <c r="M196" i="1"/>
  <c r="L190" i="1"/>
  <c r="M190" i="1"/>
  <c r="L192" i="1"/>
  <c r="M192" i="1"/>
  <c r="L188" i="1"/>
  <c r="M188" i="1"/>
  <c r="L182" i="1"/>
  <c r="M182" i="1"/>
  <c r="L184" i="1"/>
  <c r="M184" i="1"/>
  <c r="L176" i="1"/>
  <c r="M176" i="1"/>
  <c r="L172" i="1"/>
  <c r="M172" i="1"/>
  <c r="L194" i="1"/>
  <c r="M194" i="1"/>
  <c r="L198" i="1"/>
  <c r="M198" i="1"/>
  <c r="L168" i="1"/>
  <c r="M168" i="1"/>
  <c r="L180" i="1"/>
  <c r="M180" i="1"/>
  <c r="N569" i="1"/>
  <c r="H477" i="1"/>
  <c r="H476" i="1"/>
  <c r="H474" i="1"/>
  <c r="H473" i="1"/>
  <c r="H472" i="1"/>
  <c r="J471" i="1"/>
  <c r="K471" i="1"/>
  <c r="H471" i="1"/>
  <c r="H470" i="1"/>
  <c r="H469" i="1"/>
  <c r="J468" i="1"/>
  <c r="H468" i="1"/>
  <c r="J467" i="1"/>
  <c r="H467" i="1"/>
  <c r="K467" i="1"/>
  <c r="J475" i="1"/>
  <c r="K475" i="1"/>
  <c r="L471" i="1"/>
  <c r="M471" i="1"/>
  <c r="J477" i="1"/>
  <c r="K477" i="1"/>
  <c r="J470" i="1"/>
  <c r="K470" i="1"/>
  <c r="J474" i="1"/>
  <c r="K474" i="1"/>
  <c r="J469" i="1"/>
  <c r="K469" i="1"/>
  <c r="J473" i="1"/>
  <c r="K473" i="1"/>
  <c r="K468" i="1"/>
  <c r="J472" i="1"/>
  <c r="K472" i="1"/>
  <c r="J476" i="1"/>
  <c r="K476" i="1"/>
  <c r="N669" i="1"/>
  <c r="N639" i="1"/>
  <c r="L467" i="1"/>
  <c r="L475" i="1"/>
  <c r="M475" i="1"/>
  <c r="L470" i="1"/>
  <c r="M470" i="1"/>
  <c r="L476" i="1"/>
  <c r="M476" i="1"/>
  <c r="L477" i="1"/>
  <c r="M477" i="1"/>
  <c r="L473" i="1"/>
  <c r="M473" i="1"/>
  <c r="L469" i="1"/>
  <c r="M469" i="1"/>
  <c r="L474" i="1"/>
  <c r="M474" i="1"/>
  <c r="L468" i="1"/>
  <c r="M468" i="1"/>
  <c r="L472" i="1"/>
  <c r="M472" i="1"/>
  <c r="F639" i="1"/>
  <c r="G641" i="1"/>
  <c r="F646" i="1"/>
  <c r="G648" i="1"/>
  <c r="M467" i="1"/>
  <c r="K583" i="1"/>
  <c r="H583" i="1"/>
  <c r="K580" i="1"/>
  <c r="H580" i="1"/>
  <c r="K579" i="1"/>
  <c r="H579" i="1"/>
  <c r="K578" i="1"/>
  <c r="H578" i="1"/>
  <c r="F669" i="1"/>
  <c r="G671" i="1"/>
  <c r="J669" i="1"/>
  <c r="G642" i="1"/>
  <c r="G643" i="1"/>
  <c r="J639" i="1"/>
  <c r="I646" i="1"/>
  <c r="I639" i="1"/>
  <c r="L583" i="1"/>
  <c r="M583" i="1"/>
  <c r="L580" i="1"/>
  <c r="M580" i="1"/>
  <c r="L579" i="1"/>
  <c r="M579" i="1"/>
  <c r="L578" i="1"/>
  <c r="M578" i="1"/>
  <c r="G640" i="1"/>
  <c r="N568" i="1"/>
  <c r="O568" i="1"/>
  <c r="P568" i="1"/>
  <c r="N567" i="1"/>
  <c r="N566" i="1"/>
  <c r="N565" i="1"/>
  <c r="N564" i="1"/>
  <c r="O564" i="1"/>
  <c r="N563" i="1"/>
  <c r="O563" i="1"/>
  <c r="P563" i="1"/>
  <c r="N562" i="1"/>
  <c r="O562" i="1"/>
  <c r="N561" i="1"/>
  <c r="O561" i="1"/>
  <c r="P561" i="1"/>
  <c r="N560" i="1"/>
  <c r="O560" i="1"/>
  <c r="N559" i="1"/>
  <c r="N558" i="1"/>
  <c r="N557" i="1"/>
  <c r="O557" i="1"/>
  <c r="N556" i="1"/>
  <c r="O556" i="1"/>
  <c r="P556" i="1"/>
  <c r="N555" i="1"/>
  <c r="N554" i="1"/>
  <c r="N553" i="1"/>
  <c r="O553" i="1"/>
  <c r="P553" i="1"/>
  <c r="N552" i="1"/>
  <c r="N551" i="1"/>
  <c r="N550" i="1"/>
  <c r="N549" i="1"/>
  <c r="O549" i="1"/>
  <c r="N548" i="1"/>
  <c r="O548" i="1"/>
  <c r="P548" i="1"/>
  <c r="N547" i="1"/>
  <c r="O547" i="1"/>
  <c r="N546" i="1"/>
  <c r="O546" i="1"/>
  <c r="N545" i="1"/>
  <c r="O545" i="1"/>
  <c r="P545" i="1"/>
  <c r="N544" i="1"/>
  <c r="N543" i="1"/>
  <c r="N539" i="1"/>
  <c r="N538" i="1"/>
  <c r="N537" i="1"/>
  <c r="O537" i="1"/>
  <c r="P537" i="1"/>
  <c r="N536" i="1"/>
  <c r="O536" i="1"/>
  <c r="N535" i="1"/>
  <c r="O535" i="1"/>
  <c r="N534" i="1"/>
  <c r="O534" i="1"/>
  <c r="P534" i="1"/>
  <c r="N533" i="1"/>
  <c r="O533" i="1"/>
  <c r="N532" i="1"/>
  <c r="N531" i="1"/>
  <c r="N530" i="1"/>
  <c r="O530" i="1"/>
  <c r="N529" i="1"/>
  <c r="O529" i="1"/>
  <c r="P529" i="1"/>
  <c r="N528" i="1"/>
  <c r="N527" i="1"/>
  <c r="N526" i="1"/>
  <c r="O526" i="1"/>
  <c r="N524" i="1"/>
  <c r="O524" i="1"/>
  <c r="P524" i="1"/>
  <c r="N521" i="1"/>
  <c r="N520" i="1"/>
  <c r="N519" i="1"/>
  <c r="N518" i="1"/>
  <c r="O518" i="1"/>
  <c r="P518" i="1"/>
  <c r="N517" i="1"/>
  <c r="O517" i="1"/>
  <c r="P517" i="1"/>
  <c r="N516" i="1"/>
  <c r="P533" i="1"/>
  <c r="P560" i="1"/>
  <c r="O552" i="1"/>
  <c r="P552" i="1"/>
  <c r="P535" i="1"/>
  <c r="P546" i="1"/>
  <c r="O520" i="1"/>
  <c r="P520" i="1"/>
  <c r="P536" i="1"/>
  <c r="P547" i="1"/>
  <c r="P562" i="1"/>
  <c r="O521" i="1"/>
  <c r="P521" i="1"/>
  <c r="O554" i="1"/>
  <c r="P554" i="1"/>
  <c r="O567" i="1"/>
  <c r="P567" i="1"/>
  <c r="O527" i="1"/>
  <c r="P527" i="1"/>
  <c r="O544" i="1"/>
  <c r="P544" i="1"/>
  <c r="O555" i="1"/>
  <c r="P555" i="1"/>
  <c r="O528" i="1"/>
  <c r="P528" i="1"/>
  <c r="O569" i="1"/>
  <c r="P569" i="1"/>
  <c r="P530" i="1"/>
  <c r="P557" i="1"/>
  <c r="P564" i="1"/>
  <c r="O538" i="1"/>
  <c r="P538" i="1"/>
  <c r="O531" i="1"/>
  <c r="P531" i="1"/>
  <c r="O539" i="1"/>
  <c r="P539" i="1"/>
  <c r="O550" i="1"/>
  <c r="P550" i="1"/>
  <c r="O558" i="1"/>
  <c r="P558" i="1"/>
  <c r="O565" i="1"/>
  <c r="P565" i="1"/>
  <c r="P549" i="1"/>
  <c r="O519" i="1"/>
  <c r="P519" i="1"/>
  <c r="O532" i="1"/>
  <c r="P532" i="1"/>
  <c r="O543" i="1"/>
  <c r="P543" i="1"/>
  <c r="O551" i="1"/>
  <c r="P551" i="1"/>
  <c r="O559" i="1"/>
  <c r="P559" i="1"/>
  <c r="O566" i="1"/>
  <c r="P566" i="1"/>
  <c r="O516" i="1"/>
  <c r="P516" i="1"/>
  <c r="P526" i="1"/>
  <c r="P584" i="1"/>
  <c r="J549" i="1"/>
  <c r="H549" i="1"/>
  <c r="H352" i="1"/>
  <c r="H351" i="1"/>
  <c r="J350" i="1"/>
  <c r="K350" i="1"/>
  <c r="L350" i="1"/>
  <c r="H350" i="1"/>
  <c r="H349" i="1"/>
  <c r="H348" i="1"/>
  <c r="H347" i="1"/>
  <c r="H346" i="1"/>
  <c r="H312" i="1"/>
  <c r="H311" i="1"/>
  <c r="J310" i="1"/>
  <c r="K310" i="1"/>
  <c r="L310" i="1"/>
  <c r="H310" i="1"/>
  <c r="H309" i="1"/>
  <c r="H308" i="1"/>
  <c r="H307" i="1"/>
  <c r="J306" i="1"/>
  <c r="K306" i="1"/>
  <c r="L306" i="1"/>
  <c r="H306" i="1"/>
  <c r="J305" i="1"/>
  <c r="H305" i="1"/>
  <c r="H304" i="1"/>
  <c r="J303" i="1"/>
  <c r="K303" i="1"/>
  <c r="L303" i="1"/>
  <c r="H303" i="1"/>
  <c r="J302" i="1"/>
  <c r="K302" i="1"/>
  <c r="L302" i="1"/>
  <c r="H302" i="1"/>
  <c r="J301" i="1"/>
  <c r="H301" i="1"/>
  <c r="J351" i="1"/>
  <c r="K351" i="1"/>
  <c r="J304" i="1"/>
  <c r="K304" i="1"/>
  <c r="J308" i="1"/>
  <c r="K308" i="1"/>
  <c r="J347" i="1"/>
  <c r="K347" i="1"/>
  <c r="M350" i="1"/>
  <c r="J346" i="1"/>
  <c r="K346" i="1"/>
  <c r="L346" i="1"/>
  <c r="J349" i="1"/>
  <c r="K349" i="1"/>
  <c r="L349" i="1"/>
  <c r="J348" i="1"/>
  <c r="K348" i="1"/>
  <c r="L348" i="1"/>
  <c r="J352" i="1"/>
  <c r="K352" i="1"/>
  <c r="L352" i="1"/>
  <c r="M303" i="1"/>
  <c r="M306" i="1"/>
  <c r="M310" i="1"/>
  <c r="M302" i="1"/>
  <c r="J309" i="1"/>
  <c r="K309" i="1"/>
  <c r="L309" i="1"/>
  <c r="K301" i="1"/>
  <c r="L301" i="1"/>
  <c r="K305" i="1"/>
  <c r="L305" i="1"/>
  <c r="J312" i="1"/>
  <c r="K312" i="1"/>
  <c r="L312" i="1"/>
  <c r="J307" i="1"/>
  <c r="K307" i="1"/>
  <c r="L307" i="1"/>
  <c r="J311" i="1"/>
  <c r="K311" i="1"/>
  <c r="L311" i="1"/>
  <c r="L304" i="1"/>
  <c r="M304" i="1"/>
  <c r="L347" i="1"/>
  <c r="M347" i="1"/>
  <c r="L308" i="1"/>
  <c r="M308" i="1"/>
  <c r="L351" i="1"/>
  <c r="M351" i="1"/>
  <c r="M346" i="1"/>
  <c r="M352" i="1"/>
  <c r="M348" i="1"/>
  <c r="M349" i="1"/>
  <c r="M307" i="1"/>
  <c r="M309" i="1"/>
  <c r="M312" i="1"/>
  <c r="M311" i="1"/>
  <c r="M305" i="1"/>
  <c r="M301" i="1"/>
  <c r="H371" i="1"/>
  <c r="H370" i="1"/>
  <c r="H369" i="1"/>
  <c r="J371" i="1"/>
  <c r="J370" i="1"/>
  <c r="K370" i="1"/>
  <c r="L370" i="1"/>
  <c r="J369" i="1"/>
  <c r="K369" i="1"/>
  <c r="L369" i="1"/>
  <c r="K371" i="1"/>
  <c r="L371" i="1"/>
  <c r="M369" i="1"/>
  <c r="M371" i="1"/>
  <c r="M370" i="1"/>
  <c r="H575" i="1"/>
  <c r="H576" i="1"/>
  <c r="H574" i="1"/>
  <c r="H368" i="1"/>
  <c r="J368" i="1"/>
  <c r="H367" i="1"/>
  <c r="J367" i="1"/>
  <c r="H366" i="1"/>
  <c r="J366" i="1"/>
  <c r="H167" i="1"/>
  <c r="J167" i="1"/>
  <c r="H166" i="1"/>
  <c r="J166" i="1"/>
  <c r="H165" i="1"/>
  <c r="J165" i="1"/>
  <c r="H164" i="1"/>
  <c r="J164" i="1"/>
  <c r="H163" i="1"/>
  <c r="J163" i="1"/>
  <c r="H162" i="1"/>
  <c r="H161" i="1"/>
  <c r="J161" i="1"/>
  <c r="H160" i="1"/>
  <c r="J160" i="1"/>
  <c r="H159" i="1"/>
  <c r="J159" i="1"/>
  <c r="H158" i="1"/>
  <c r="J158" i="1"/>
  <c r="H157" i="1"/>
  <c r="J157" i="1"/>
  <c r="H156" i="1"/>
  <c r="J156" i="1"/>
  <c r="H155" i="1"/>
  <c r="J155" i="1"/>
  <c r="H154" i="1"/>
  <c r="H153" i="1"/>
  <c r="J153" i="1"/>
  <c r="H152" i="1"/>
  <c r="J152" i="1"/>
  <c r="H151" i="1"/>
  <c r="J151" i="1"/>
  <c r="H150" i="1"/>
  <c r="J150" i="1"/>
  <c r="H149" i="1"/>
  <c r="J149" i="1"/>
  <c r="H148" i="1"/>
  <c r="J148" i="1"/>
  <c r="H147" i="1"/>
  <c r="J147" i="1"/>
  <c r="H146" i="1"/>
  <c r="H145" i="1"/>
  <c r="J145" i="1"/>
  <c r="H144" i="1"/>
  <c r="J144" i="1"/>
  <c r="H143" i="1"/>
  <c r="J143" i="1"/>
  <c r="H142" i="1"/>
  <c r="J142" i="1"/>
  <c r="H141" i="1"/>
  <c r="J141" i="1"/>
  <c r="H140" i="1"/>
  <c r="J140" i="1"/>
  <c r="H139" i="1"/>
  <c r="J139" i="1"/>
  <c r="H138" i="1"/>
  <c r="H137" i="1"/>
  <c r="J137" i="1"/>
  <c r="H136" i="1"/>
  <c r="J136" i="1"/>
  <c r="H135" i="1"/>
  <c r="J135" i="1"/>
  <c r="H134" i="1"/>
  <c r="J134" i="1"/>
  <c r="H133" i="1"/>
  <c r="J133" i="1"/>
  <c r="H132" i="1"/>
  <c r="J132" i="1"/>
  <c r="H131" i="1"/>
  <c r="J131" i="1"/>
  <c r="H130" i="1"/>
  <c r="H129" i="1"/>
  <c r="J129" i="1"/>
  <c r="H128" i="1"/>
  <c r="J128" i="1"/>
  <c r="H127" i="1"/>
  <c r="J127" i="1"/>
  <c r="H126" i="1"/>
  <c r="J126" i="1"/>
  <c r="H125" i="1"/>
  <c r="J125" i="1"/>
  <c r="H124" i="1"/>
  <c r="J124" i="1"/>
  <c r="H123" i="1"/>
  <c r="J123" i="1"/>
  <c r="H122" i="1"/>
  <c r="J122" i="1"/>
  <c r="H121" i="1"/>
  <c r="J121" i="1"/>
  <c r="H120" i="1"/>
  <c r="J120" i="1"/>
  <c r="H119" i="1"/>
  <c r="J119" i="1"/>
  <c r="H118" i="1"/>
  <c r="J118" i="1"/>
  <c r="H117" i="1"/>
  <c r="J117" i="1"/>
  <c r="H116" i="1"/>
  <c r="J116" i="1"/>
  <c r="H115" i="1"/>
  <c r="J115" i="1"/>
  <c r="H114" i="1"/>
  <c r="J114" i="1"/>
  <c r="H113" i="1"/>
  <c r="J113" i="1"/>
  <c r="H112" i="1"/>
  <c r="J112" i="1"/>
  <c r="J146" i="1"/>
  <c r="K146" i="1"/>
  <c r="J154" i="1"/>
  <c r="K154" i="1"/>
  <c r="J162" i="1"/>
  <c r="K162" i="1"/>
  <c r="J130" i="1"/>
  <c r="K130" i="1"/>
  <c r="J138" i="1"/>
  <c r="K138" i="1"/>
  <c r="K122" i="1"/>
  <c r="K367" i="1"/>
  <c r="K366" i="1"/>
  <c r="L366" i="1"/>
  <c r="K368" i="1"/>
  <c r="L368" i="1"/>
  <c r="K131" i="1"/>
  <c r="L131" i="1"/>
  <c r="K141" i="1"/>
  <c r="L141" i="1"/>
  <c r="K147" i="1"/>
  <c r="L147" i="1"/>
  <c r="K157" i="1"/>
  <c r="L157" i="1"/>
  <c r="K167" i="1"/>
  <c r="L167" i="1"/>
  <c r="K125" i="1"/>
  <c r="L125" i="1"/>
  <c r="K112" i="1"/>
  <c r="K115" i="1"/>
  <c r="L115" i="1"/>
  <c r="K119" i="1"/>
  <c r="L119" i="1"/>
  <c r="K132" i="1"/>
  <c r="L132" i="1"/>
  <c r="K142" i="1"/>
  <c r="L142" i="1"/>
  <c r="K148" i="1"/>
  <c r="L148" i="1"/>
  <c r="K158" i="1"/>
  <c r="L158" i="1"/>
  <c r="K164" i="1"/>
  <c r="L164" i="1"/>
  <c r="K126" i="1"/>
  <c r="L126" i="1"/>
  <c r="K124" i="1"/>
  <c r="L124" i="1"/>
  <c r="K128" i="1"/>
  <c r="L128" i="1"/>
  <c r="K118" i="1"/>
  <c r="L118" i="1"/>
  <c r="K135" i="1"/>
  <c r="L135" i="1"/>
  <c r="K151" i="1"/>
  <c r="L151" i="1"/>
  <c r="K163" i="1"/>
  <c r="L163" i="1"/>
  <c r="K116" i="1"/>
  <c r="L116" i="1"/>
  <c r="K120" i="1"/>
  <c r="L120" i="1"/>
  <c r="K133" i="1"/>
  <c r="L133" i="1"/>
  <c r="K139" i="1"/>
  <c r="L139" i="1"/>
  <c r="K143" i="1"/>
  <c r="L143" i="1"/>
  <c r="K149" i="1"/>
  <c r="L149" i="1"/>
  <c r="K155" i="1"/>
  <c r="L155" i="1"/>
  <c r="K159" i="1"/>
  <c r="L159" i="1"/>
  <c r="K165" i="1"/>
  <c r="L165" i="1"/>
  <c r="K123" i="1"/>
  <c r="L123" i="1"/>
  <c r="K127" i="1"/>
  <c r="L127" i="1"/>
  <c r="K117" i="1"/>
  <c r="L117" i="1"/>
  <c r="K134" i="1"/>
  <c r="L134" i="1"/>
  <c r="K140" i="1"/>
  <c r="L140" i="1"/>
  <c r="K150" i="1"/>
  <c r="L150" i="1"/>
  <c r="K156" i="1"/>
  <c r="L156" i="1"/>
  <c r="K166" i="1"/>
  <c r="L166" i="1"/>
  <c r="K137" i="1"/>
  <c r="L137" i="1"/>
  <c r="K145" i="1"/>
  <c r="L145" i="1"/>
  <c r="K153" i="1"/>
  <c r="L153" i="1"/>
  <c r="K161" i="1"/>
  <c r="L161" i="1"/>
  <c r="K121" i="1"/>
  <c r="L121" i="1"/>
  <c r="K129" i="1"/>
  <c r="L129" i="1"/>
  <c r="K136" i="1"/>
  <c r="L136" i="1"/>
  <c r="K144" i="1"/>
  <c r="L144" i="1"/>
  <c r="K152" i="1"/>
  <c r="L152" i="1"/>
  <c r="K160" i="1"/>
  <c r="L160" i="1"/>
  <c r="K114" i="1"/>
  <c r="L114" i="1"/>
  <c r="K113" i="1"/>
  <c r="L113" i="1"/>
  <c r="L367" i="1"/>
  <c r="M367" i="1"/>
  <c r="L112" i="1"/>
  <c r="M112" i="1"/>
  <c r="L138" i="1"/>
  <c r="M138" i="1"/>
  <c r="L146" i="1"/>
  <c r="M146" i="1"/>
  <c r="L122" i="1"/>
  <c r="M122" i="1"/>
  <c r="L130" i="1"/>
  <c r="M130" i="1"/>
  <c r="L162" i="1"/>
  <c r="M162" i="1"/>
  <c r="L154" i="1"/>
  <c r="M154" i="1"/>
  <c r="M368" i="1"/>
  <c r="M366" i="1"/>
  <c r="M136" i="1"/>
  <c r="M165" i="1"/>
  <c r="M159" i="1"/>
  <c r="M161" i="1"/>
  <c r="M155" i="1"/>
  <c r="M157" i="1"/>
  <c r="M128" i="1"/>
  <c r="M119" i="1"/>
  <c r="M147" i="1"/>
  <c r="M139" i="1"/>
  <c r="M150" i="1"/>
  <c r="M126" i="1"/>
  <c r="M160" i="1"/>
  <c r="M134" i="1"/>
  <c r="M149" i="1"/>
  <c r="M137" i="1"/>
  <c r="M158" i="1"/>
  <c r="M131" i="1"/>
  <c r="M123" i="1"/>
  <c r="M120" i="1"/>
  <c r="M145" i="1"/>
  <c r="M163" i="1"/>
  <c r="M115" i="1"/>
  <c r="M141" i="1"/>
  <c r="M117" i="1"/>
  <c r="M151" i="1"/>
  <c r="M144" i="1"/>
  <c r="M166" i="1"/>
  <c r="M127" i="1"/>
  <c r="M125" i="1"/>
  <c r="M133" i="1"/>
  <c r="M118" i="1"/>
  <c r="M142" i="1"/>
  <c r="M132" i="1"/>
  <c r="M114" i="1"/>
  <c r="M129" i="1"/>
  <c r="M116" i="1"/>
  <c r="M124" i="1"/>
  <c r="M167" i="1"/>
  <c r="M121" i="1"/>
  <c r="M153" i="1"/>
  <c r="M156" i="1"/>
  <c r="M143" i="1"/>
  <c r="M135" i="1"/>
  <c r="M148" i="1"/>
  <c r="M113" i="1"/>
  <c r="M140" i="1"/>
  <c r="M152" i="1"/>
  <c r="M164" i="1"/>
  <c r="H442" i="1"/>
  <c r="K581" i="1"/>
  <c r="H581" i="1"/>
  <c r="H569" i="1"/>
  <c r="J569" i="1"/>
  <c r="H567" i="1"/>
  <c r="J567" i="1"/>
  <c r="H566" i="1"/>
  <c r="J566" i="1"/>
  <c r="H565" i="1"/>
  <c r="J565" i="1"/>
  <c r="H564" i="1"/>
  <c r="J564" i="1"/>
  <c r="H563" i="1"/>
  <c r="J563" i="1"/>
  <c r="H562" i="1"/>
  <c r="J562" i="1"/>
  <c r="H561" i="1"/>
  <c r="J561" i="1"/>
  <c r="H560" i="1"/>
  <c r="J560" i="1"/>
  <c r="H559" i="1"/>
  <c r="J559" i="1"/>
  <c r="H558" i="1"/>
  <c r="J558" i="1"/>
  <c r="H557" i="1"/>
  <c r="J557" i="1"/>
  <c r="H555" i="1"/>
  <c r="J555" i="1"/>
  <c r="H554" i="1"/>
  <c r="J554" i="1"/>
  <c r="H552" i="1"/>
  <c r="J552" i="1"/>
  <c r="J551" i="1"/>
  <c r="H551" i="1"/>
  <c r="H548" i="1"/>
  <c r="J548" i="1"/>
  <c r="H547" i="1"/>
  <c r="J547" i="1"/>
  <c r="H546" i="1"/>
  <c r="J546" i="1"/>
  <c r="H544" i="1"/>
  <c r="H539" i="1"/>
  <c r="H538" i="1"/>
  <c r="H537" i="1"/>
  <c r="H536" i="1"/>
  <c r="H535" i="1"/>
  <c r="H533" i="1"/>
  <c r="H531" i="1"/>
  <c r="H530" i="1"/>
  <c r="H528" i="1"/>
  <c r="H527" i="1"/>
  <c r="H526" i="1"/>
  <c r="H524" i="1"/>
  <c r="H520" i="1"/>
  <c r="H519" i="1"/>
  <c r="H518" i="1"/>
  <c r="H517" i="1"/>
  <c r="H516" i="1"/>
  <c r="H514" i="1"/>
  <c r="H513" i="1"/>
  <c r="H512" i="1"/>
  <c r="H510" i="1"/>
  <c r="H509" i="1"/>
  <c r="H508" i="1"/>
  <c r="H507" i="1"/>
  <c r="H505" i="1"/>
  <c r="H504" i="1"/>
  <c r="H503" i="1"/>
  <c r="H501" i="1"/>
  <c r="H500" i="1"/>
  <c r="H498" i="1"/>
  <c r="H496" i="1"/>
  <c r="H495" i="1"/>
  <c r="H465" i="1"/>
  <c r="H464" i="1"/>
  <c r="H463" i="1"/>
  <c r="H462" i="1"/>
  <c r="H461" i="1"/>
  <c r="H460" i="1"/>
  <c r="H459" i="1"/>
  <c r="H457" i="1"/>
  <c r="H456" i="1"/>
  <c r="H455" i="1"/>
  <c r="H454" i="1"/>
  <c r="H453" i="1"/>
  <c r="H452" i="1"/>
  <c r="H451" i="1"/>
  <c r="H449" i="1"/>
  <c r="H448" i="1"/>
  <c r="H447" i="1"/>
  <c r="H446" i="1"/>
  <c r="H445" i="1"/>
  <c r="H444" i="1"/>
  <c r="H443" i="1"/>
  <c r="H441" i="1"/>
  <c r="H440" i="1"/>
  <c r="H439" i="1"/>
  <c r="H438" i="1"/>
  <c r="H437" i="1"/>
  <c r="H436" i="1"/>
  <c r="H435" i="1"/>
  <c r="H432" i="1"/>
  <c r="H430" i="1"/>
  <c r="H429" i="1"/>
  <c r="H428" i="1"/>
  <c r="H431" i="1"/>
  <c r="H426" i="1"/>
  <c r="H425" i="1"/>
  <c r="H424" i="1"/>
  <c r="H423" i="1"/>
  <c r="H421" i="1"/>
  <c r="H420" i="1"/>
  <c r="H419" i="1"/>
  <c r="H417" i="1"/>
  <c r="H416" i="1"/>
  <c r="H415" i="1"/>
  <c r="H413" i="1"/>
  <c r="H412" i="1"/>
  <c r="H411" i="1"/>
  <c r="H410" i="1"/>
  <c r="H409" i="1"/>
  <c r="H408" i="1"/>
  <c r="H407" i="1"/>
  <c r="H406" i="1"/>
  <c r="H404" i="1"/>
  <c r="H403" i="1"/>
  <c r="H402" i="1"/>
  <c r="H401" i="1"/>
  <c r="H400" i="1"/>
  <c r="H399" i="1"/>
  <c r="H398" i="1"/>
  <c r="H396" i="1"/>
  <c r="J396" i="1"/>
  <c r="H395" i="1"/>
  <c r="J395" i="1"/>
  <c r="H394" i="1"/>
  <c r="H392" i="1"/>
  <c r="J392" i="1"/>
  <c r="H391" i="1"/>
  <c r="J391" i="1"/>
  <c r="H389" i="1"/>
  <c r="H388" i="1"/>
  <c r="H387" i="1"/>
  <c r="H386" i="1"/>
  <c r="J386" i="1"/>
  <c r="H385" i="1"/>
  <c r="J385" i="1"/>
  <c r="H383" i="1"/>
  <c r="H382" i="1"/>
  <c r="J382" i="1"/>
  <c r="K382" i="1"/>
  <c r="L382" i="1"/>
  <c r="H381" i="1"/>
  <c r="J381" i="1"/>
  <c r="H379" i="1"/>
  <c r="J379" i="1"/>
  <c r="H378" i="1"/>
  <c r="J378" i="1"/>
  <c r="H374" i="1"/>
  <c r="J374" i="1"/>
  <c r="H364" i="1"/>
  <c r="J364" i="1"/>
  <c r="H345" i="1"/>
  <c r="J345" i="1"/>
  <c r="K345" i="1"/>
  <c r="H344" i="1"/>
  <c r="H343" i="1"/>
  <c r="H342" i="1"/>
  <c r="J342" i="1"/>
  <c r="H341" i="1"/>
  <c r="H340" i="1"/>
  <c r="H339" i="1"/>
  <c r="H338" i="1"/>
  <c r="H337" i="1"/>
  <c r="J337" i="1"/>
  <c r="K337" i="1"/>
  <c r="L337" i="1"/>
  <c r="H336" i="1"/>
  <c r="J336" i="1"/>
  <c r="H335" i="1"/>
  <c r="J335" i="1"/>
  <c r="H334" i="1"/>
  <c r="H333" i="1"/>
  <c r="H332" i="1"/>
  <c r="H331" i="1"/>
  <c r="H330" i="1"/>
  <c r="H329" i="1"/>
  <c r="J329" i="1"/>
  <c r="K329" i="1"/>
  <c r="L329" i="1"/>
  <c r="H328" i="1"/>
  <c r="H327" i="1"/>
  <c r="J327" i="1"/>
  <c r="H326" i="1"/>
  <c r="H325" i="1"/>
  <c r="H324" i="1"/>
  <c r="J324" i="1"/>
  <c r="H323" i="1"/>
  <c r="J323" i="1"/>
  <c r="H322" i="1"/>
  <c r="H321" i="1"/>
  <c r="H320" i="1"/>
  <c r="H319" i="1"/>
  <c r="J319" i="1"/>
  <c r="H318" i="1"/>
  <c r="H317" i="1"/>
  <c r="H316" i="1"/>
  <c r="H315" i="1"/>
  <c r="H314" i="1"/>
  <c r="H300" i="1"/>
  <c r="J300" i="1"/>
  <c r="H299" i="1"/>
  <c r="H298" i="1"/>
  <c r="J298" i="1"/>
  <c r="K298" i="1"/>
  <c r="L298" i="1"/>
  <c r="H297" i="1"/>
  <c r="H296" i="1"/>
  <c r="J296" i="1"/>
  <c r="K296" i="1"/>
  <c r="L296" i="1"/>
  <c r="H295" i="1"/>
  <c r="J295" i="1"/>
  <c r="H294" i="1"/>
  <c r="J294" i="1"/>
  <c r="H293" i="1"/>
  <c r="H292" i="1"/>
  <c r="H291" i="1"/>
  <c r="H290" i="1"/>
  <c r="J290" i="1"/>
  <c r="H289" i="1"/>
  <c r="J289" i="1"/>
  <c r="H288" i="1"/>
  <c r="H287" i="1"/>
  <c r="H286" i="1"/>
  <c r="J286" i="1"/>
  <c r="H285" i="1"/>
  <c r="J285" i="1"/>
  <c r="H284" i="1"/>
  <c r="H283" i="1"/>
  <c r="J283" i="1"/>
  <c r="H282" i="1"/>
  <c r="J282" i="1"/>
  <c r="K282" i="1"/>
  <c r="L282" i="1"/>
  <c r="H281" i="1"/>
  <c r="J281" i="1"/>
  <c r="H279" i="1"/>
  <c r="H278" i="1"/>
  <c r="H277" i="1"/>
  <c r="J277" i="1"/>
  <c r="H276" i="1"/>
  <c r="H275" i="1"/>
  <c r="H274" i="1"/>
  <c r="J274" i="1"/>
  <c r="K274" i="1"/>
  <c r="L274" i="1"/>
  <c r="H273" i="1"/>
  <c r="H272" i="1"/>
  <c r="J272" i="1"/>
  <c r="H271" i="1"/>
  <c r="H270" i="1"/>
  <c r="J270" i="1"/>
  <c r="H269" i="1"/>
  <c r="H268" i="1"/>
  <c r="J268" i="1"/>
  <c r="H266" i="1"/>
  <c r="J266" i="1"/>
  <c r="H265" i="1"/>
  <c r="H264" i="1"/>
  <c r="J264" i="1"/>
  <c r="H263" i="1"/>
  <c r="H262" i="1"/>
  <c r="J262" i="1"/>
  <c r="H261" i="1"/>
  <c r="H260" i="1"/>
  <c r="J260" i="1"/>
  <c r="H259" i="1"/>
  <c r="J259" i="1"/>
  <c r="H247" i="1"/>
  <c r="J247" i="1"/>
  <c r="H246" i="1"/>
  <c r="J246" i="1"/>
  <c r="H245" i="1"/>
  <c r="J245" i="1"/>
  <c r="H244" i="1"/>
  <c r="H243" i="1"/>
  <c r="J243" i="1"/>
  <c r="H242" i="1"/>
  <c r="H241" i="1"/>
  <c r="H240" i="1"/>
  <c r="H239" i="1"/>
  <c r="H238" i="1"/>
  <c r="H237" i="1"/>
  <c r="J237" i="1"/>
  <c r="H236" i="1"/>
  <c r="H235" i="1"/>
  <c r="J235" i="1"/>
  <c r="K235" i="1"/>
  <c r="L235" i="1"/>
  <c r="H234" i="1"/>
  <c r="H233" i="1"/>
  <c r="J233" i="1"/>
  <c r="H232" i="1"/>
  <c r="H231" i="1"/>
  <c r="H230" i="1"/>
  <c r="H229" i="1"/>
  <c r="H228" i="1"/>
  <c r="J228" i="1"/>
  <c r="K228" i="1"/>
  <c r="L228" i="1"/>
  <c r="H227" i="1"/>
  <c r="J227" i="1"/>
  <c r="H226" i="1"/>
  <c r="H225" i="1"/>
  <c r="H224" i="1"/>
  <c r="H223" i="1"/>
  <c r="H222" i="1"/>
  <c r="J222" i="1"/>
  <c r="H221" i="1"/>
  <c r="J221" i="1"/>
  <c r="K221" i="1"/>
  <c r="L221" i="1"/>
  <c r="H220" i="1"/>
  <c r="H219" i="1"/>
  <c r="H218" i="1"/>
  <c r="H217" i="1"/>
  <c r="J217" i="1"/>
  <c r="H216" i="1"/>
  <c r="H215" i="1"/>
  <c r="H214" i="1"/>
  <c r="J214" i="1"/>
  <c r="H213" i="1"/>
  <c r="J213" i="1"/>
  <c r="H212" i="1"/>
  <c r="J212" i="1"/>
  <c r="H211" i="1"/>
  <c r="H210" i="1"/>
  <c r="J210" i="1"/>
  <c r="H209" i="1"/>
  <c r="J209" i="1"/>
  <c r="H208" i="1"/>
  <c r="H207" i="1"/>
  <c r="J207" i="1"/>
  <c r="H206" i="1"/>
  <c r="H205" i="1"/>
  <c r="H204" i="1"/>
  <c r="J204" i="1"/>
  <c r="H203" i="1"/>
  <c r="J203" i="1"/>
  <c r="H202" i="1"/>
  <c r="H201" i="1"/>
  <c r="H200" i="1"/>
  <c r="J200" i="1"/>
  <c r="K200" i="1"/>
  <c r="H110" i="1"/>
  <c r="J110" i="1"/>
  <c r="K110" i="1"/>
  <c r="L110" i="1"/>
  <c r="H109" i="1"/>
  <c r="H108" i="1"/>
  <c r="J108" i="1"/>
  <c r="H107" i="1"/>
  <c r="J107" i="1"/>
  <c r="H106" i="1"/>
  <c r="H105" i="1"/>
  <c r="J105" i="1"/>
  <c r="H104" i="1"/>
  <c r="H103" i="1"/>
  <c r="H102" i="1"/>
  <c r="J102" i="1"/>
  <c r="H101" i="1"/>
  <c r="J101" i="1"/>
  <c r="K101" i="1"/>
  <c r="L101" i="1"/>
  <c r="H100" i="1"/>
  <c r="J100" i="1"/>
  <c r="H99" i="1"/>
  <c r="J99" i="1"/>
  <c r="K99" i="1"/>
  <c r="L99" i="1"/>
  <c r="H98" i="1"/>
  <c r="H97" i="1"/>
  <c r="J97" i="1"/>
  <c r="K97" i="1"/>
  <c r="L97" i="1"/>
  <c r="H96" i="1"/>
  <c r="J96" i="1"/>
  <c r="H95" i="1"/>
  <c r="H94" i="1"/>
  <c r="H93" i="1"/>
  <c r="H92" i="1"/>
  <c r="J92" i="1"/>
  <c r="K92" i="1"/>
  <c r="L92" i="1"/>
  <c r="H91" i="1"/>
  <c r="H90" i="1"/>
  <c r="H89" i="1"/>
  <c r="J89" i="1"/>
  <c r="H88" i="1"/>
  <c r="H87" i="1"/>
  <c r="H86" i="1"/>
  <c r="H85" i="1"/>
  <c r="H84" i="1"/>
  <c r="H83" i="1"/>
  <c r="H82" i="1"/>
  <c r="H81" i="1"/>
  <c r="J81" i="1"/>
  <c r="K81" i="1"/>
  <c r="L81" i="1"/>
  <c r="H80" i="1"/>
  <c r="J80" i="1"/>
  <c r="H79" i="1"/>
  <c r="J79" i="1"/>
  <c r="H78" i="1"/>
  <c r="J78" i="1"/>
  <c r="H77" i="1"/>
  <c r="H76" i="1"/>
  <c r="J76" i="1"/>
  <c r="K76" i="1"/>
  <c r="L76" i="1"/>
  <c r="H75" i="1"/>
  <c r="H74" i="1"/>
  <c r="H73" i="1"/>
  <c r="H72" i="1"/>
  <c r="H71" i="1"/>
  <c r="J71" i="1"/>
  <c r="H70" i="1"/>
  <c r="J70" i="1"/>
  <c r="K70" i="1"/>
  <c r="L70" i="1"/>
  <c r="H69" i="1"/>
  <c r="J69" i="1"/>
  <c r="H68" i="1"/>
  <c r="H67" i="1"/>
  <c r="H66" i="1"/>
  <c r="J66" i="1"/>
  <c r="K66" i="1"/>
  <c r="L66" i="1"/>
  <c r="H65" i="1"/>
  <c r="J65" i="1"/>
  <c r="K65" i="1"/>
  <c r="L65" i="1"/>
  <c r="H64" i="1"/>
  <c r="H63" i="1"/>
  <c r="J63" i="1"/>
  <c r="H62" i="1"/>
  <c r="H61" i="1"/>
  <c r="H60" i="1"/>
  <c r="J60" i="1"/>
  <c r="K60" i="1"/>
  <c r="L60" i="1"/>
  <c r="H59" i="1"/>
  <c r="H58" i="1"/>
  <c r="H57" i="1"/>
  <c r="H56" i="1"/>
  <c r="J56" i="1"/>
  <c r="H55" i="1"/>
  <c r="H54" i="1"/>
  <c r="J54" i="1"/>
  <c r="H53" i="1"/>
  <c r="H52" i="1"/>
  <c r="H51" i="1"/>
  <c r="J51" i="1"/>
  <c r="K51" i="1"/>
  <c r="L51" i="1"/>
  <c r="H50" i="1"/>
  <c r="H49" i="1"/>
  <c r="H48" i="1"/>
  <c r="H47" i="1"/>
  <c r="H46" i="1"/>
  <c r="J46" i="1"/>
  <c r="H45" i="1"/>
  <c r="J45" i="1"/>
  <c r="K45" i="1"/>
  <c r="L45" i="1"/>
  <c r="H44" i="1"/>
  <c r="H43" i="1"/>
  <c r="H42" i="1"/>
  <c r="H41" i="1"/>
  <c r="J41" i="1"/>
  <c r="H40" i="1"/>
  <c r="J40" i="1"/>
  <c r="H39" i="1"/>
  <c r="J39" i="1"/>
  <c r="K39" i="1"/>
  <c r="L39" i="1"/>
  <c r="H38" i="1"/>
  <c r="H37" i="1"/>
  <c r="J37" i="1"/>
  <c r="K37" i="1"/>
  <c r="L37" i="1"/>
  <c r="H36" i="1"/>
  <c r="H35" i="1"/>
  <c r="J35" i="1"/>
  <c r="H34" i="1"/>
  <c r="H33" i="1"/>
  <c r="H32" i="1"/>
  <c r="J32" i="1"/>
  <c r="L345" i="1"/>
  <c r="M345" i="1"/>
  <c r="J394" i="1"/>
  <c r="K394" i="1"/>
  <c r="L394" i="1"/>
  <c r="J219" i="1"/>
  <c r="K219" i="1"/>
  <c r="L219" i="1"/>
  <c r="L200" i="1"/>
  <c r="M200" i="1"/>
  <c r="J57" i="1"/>
  <c r="K57" i="1"/>
  <c r="L57" i="1"/>
  <c r="J50" i="1"/>
  <c r="K50" i="1"/>
  <c r="L50" i="1"/>
  <c r="K272" i="1"/>
  <c r="L272" i="1"/>
  <c r="K392" i="1"/>
  <c r="L392" i="1"/>
  <c r="M392" i="1"/>
  <c r="J317" i="1"/>
  <c r="K317" i="1"/>
  <c r="J261" i="1"/>
  <c r="K261" i="1"/>
  <c r="L261" i="1"/>
  <c r="J225" i="1"/>
  <c r="K225" i="1"/>
  <c r="J68" i="1"/>
  <c r="K68" i="1"/>
  <c r="L68" i="1"/>
  <c r="J44" i="1"/>
  <c r="K44" i="1"/>
  <c r="J208" i="1"/>
  <c r="K208" i="1"/>
  <c r="L208" i="1"/>
  <c r="K277" i="1"/>
  <c r="K342" i="1"/>
  <c r="J74" i="1"/>
  <c r="K74" i="1"/>
  <c r="L74" i="1"/>
  <c r="J241" i="1"/>
  <c r="K241" i="1"/>
  <c r="L241" i="1"/>
  <c r="J67" i="1"/>
  <c r="K67" i="1"/>
  <c r="L67" i="1"/>
  <c r="J82" i="1"/>
  <c r="K82" i="1"/>
  <c r="L82" i="1"/>
  <c r="K381" i="1"/>
  <c r="J62" i="1"/>
  <c r="K62" i="1"/>
  <c r="J95" i="1"/>
  <c r="K95" i="1"/>
  <c r="K243" i="1"/>
  <c r="J340" i="1"/>
  <c r="K340" i="1"/>
  <c r="L340" i="1"/>
  <c r="K233" i="1"/>
  <c r="L233" i="1"/>
  <c r="K323" i="1"/>
  <c r="J94" i="1"/>
  <c r="K94" i="1"/>
  <c r="L94" i="1"/>
  <c r="K214" i="1"/>
  <c r="K270" i="1"/>
  <c r="L270" i="1"/>
  <c r="K207" i="1"/>
  <c r="K209" i="1"/>
  <c r="L209" i="1"/>
  <c r="J229" i="1"/>
  <c r="K229" i="1"/>
  <c r="L229" i="1"/>
  <c r="J318" i="1"/>
  <c r="K318" i="1"/>
  <c r="L318" i="1"/>
  <c r="K379" i="1"/>
  <c r="L379" i="1"/>
  <c r="K391" i="1"/>
  <c r="K281" i="1"/>
  <c r="K327" i="1"/>
  <c r="K336" i="1"/>
  <c r="L336" i="1"/>
  <c r="K105" i="1"/>
  <c r="K204" i="1"/>
  <c r="K294" i="1"/>
  <c r="J53" i="1"/>
  <c r="K53" i="1"/>
  <c r="J86" i="1"/>
  <c r="K86" i="1"/>
  <c r="L86" i="1"/>
  <c r="K227" i="1"/>
  <c r="L227" i="1"/>
  <c r="J232" i="1"/>
  <c r="K232" i="1"/>
  <c r="L232" i="1"/>
  <c r="J240" i="1"/>
  <c r="K240" i="1"/>
  <c r="J269" i="1"/>
  <c r="K269" i="1"/>
  <c r="K386" i="1"/>
  <c r="K40" i="1"/>
  <c r="K35" i="1"/>
  <c r="M60" i="1"/>
  <c r="J42" i="1"/>
  <c r="K42" i="1"/>
  <c r="L42" i="1"/>
  <c r="M76" i="1"/>
  <c r="M92" i="1"/>
  <c r="J211" i="1"/>
  <c r="K211" i="1"/>
  <c r="L211" i="1"/>
  <c r="M235" i="1"/>
  <c r="K32" i="1"/>
  <c r="J87" i="1"/>
  <c r="K87" i="1"/>
  <c r="L87" i="1"/>
  <c r="M99" i="1"/>
  <c r="J91" i="1"/>
  <c r="K91" i="1"/>
  <c r="L91" i="1"/>
  <c r="M97" i="1"/>
  <c r="J109" i="1"/>
  <c r="K109" i="1"/>
  <c r="L109" i="1"/>
  <c r="J36" i="1"/>
  <c r="K36" i="1"/>
  <c r="L36" i="1"/>
  <c r="M70" i="1"/>
  <c r="J73" i="1"/>
  <c r="K73" i="1"/>
  <c r="L73" i="1"/>
  <c r="J85" i="1"/>
  <c r="K85" i="1"/>
  <c r="L85" i="1"/>
  <c r="J98" i="1"/>
  <c r="K98" i="1"/>
  <c r="L98" i="1"/>
  <c r="K100" i="1"/>
  <c r="L100" i="1"/>
  <c r="J215" i="1"/>
  <c r="K215" i="1"/>
  <c r="L215" i="1"/>
  <c r="J293" i="1"/>
  <c r="K293" i="1"/>
  <c r="L293" i="1"/>
  <c r="J322" i="1"/>
  <c r="K322" i="1"/>
  <c r="L322" i="1"/>
  <c r="J38" i="1"/>
  <c r="K38" i="1"/>
  <c r="L38" i="1"/>
  <c r="M51" i="1"/>
  <c r="J83" i="1"/>
  <c r="K83" i="1"/>
  <c r="L83" i="1"/>
  <c r="J103" i="1"/>
  <c r="K103" i="1"/>
  <c r="L103" i="1"/>
  <c r="M282" i="1"/>
  <c r="J220" i="1"/>
  <c r="K220" i="1"/>
  <c r="L220" i="1"/>
  <c r="M228" i="1"/>
  <c r="J58" i="1"/>
  <c r="K58" i="1"/>
  <c r="L58" i="1"/>
  <c r="J90" i="1"/>
  <c r="K90" i="1"/>
  <c r="L90" i="1"/>
  <c r="J202" i="1"/>
  <c r="K202" i="1"/>
  <c r="L202" i="1"/>
  <c r="J239" i="1"/>
  <c r="K239" i="1"/>
  <c r="L239" i="1"/>
  <c r="J47" i="1"/>
  <c r="K47" i="1"/>
  <c r="L47" i="1"/>
  <c r="M39" i="1"/>
  <c r="J59" i="1"/>
  <c r="K59" i="1"/>
  <c r="L59" i="1"/>
  <c r="J52" i="1"/>
  <c r="K52" i="1"/>
  <c r="L52" i="1"/>
  <c r="J55" i="1"/>
  <c r="K55" i="1"/>
  <c r="L55" i="1"/>
  <c r="M66" i="1"/>
  <c r="M110" i="1"/>
  <c r="J216" i="1"/>
  <c r="K216" i="1"/>
  <c r="L216" i="1"/>
  <c r="M81" i="1"/>
  <c r="J236" i="1"/>
  <c r="K236" i="1"/>
  <c r="L236" i="1"/>
  <c r="J33" i="1"/>
  <c r="K33" i="1"/>
  <c r="L33" i="1"/>
  <c r="J34" i="1"/>
  <c r="K34" i="1"/>
  <c r="L34" i="1"/>
  <c r="M45" i="1"/>
  <c r="J48" i="1"/>
  <c r="K48" i="1"/>
  <c r="L48" i="1"/>
  <c r="K89" i="1"/>
  <c r="L89" i="1"/>
  <c r="J106" i="1"/>
  <c r="K106" i="1"/>
  <c r="L106" i="1"/>
  <c r="J223" i="1"/>
  <c r="K223" i="1"/>
  <c r="L223" i="1"/>
  <c r="J226" i="1"/>
  <c r="K226" i="1"/>
  <c r="L226" i="1"/>
  <c r="J77" i="1"/>
  <c r="K77" i="1"/>
  <c r="L77" i="1"/>
  <c r="M37" i="1"/>
  <c r="J43" i="1"/>
  <c r="K43" i="1"/>
  <c r="L43" i="1"/>
  <c r="J61" i="1"/>
  <c r="K61" i="1"/>
  <c r="L61" i="1"/>
  <c r="M65" i="1"/>
  <c r="J72" i="1"/>
  <c r="K72" i="1"/>
  <c r="L72" i="1"/>
  <c r="J75" i="1"/>
  <c r="K75" i="1"/>
  <c r="L75" i="1"/>
  <c r="M101" i="1"/>
  <c r="M221" i="1"/>
  <c r="J244" i="1"/>
  <c r="K244" i="1"/>
  <c r="L244" i="1"/>
  <c r="J88" i="1"/>
  <c r="K88" i="1"/>
  <c r="L88" i="1"/>
  <c r="J93" i="1"/>
  <c r="K93" i="1"/>
  <c r="L93" i="1"/>
  <c r="J218" i="1"/>
  <c r="K218" i="1"/>
  <c r="L218" i="1"/>
  <c r="J234" i="1"/>
  <c r="K234" i="1"/>
  <c r="L234" i="1"/>
  <c r="K41" i="1"/>
  <c r="L41" i="1"/>
  <c r="K46" i="1"/>
  <c r="L46" i="1"/>
  <c r="K203" i="1"/>
  <c r="L203" i="1"/>
  <c r="J238" i="1"/>
  <c r="K238" i="1"/>
  <c r="L238" i="1"/>
  <c r="K264" i="1"/>
  <c r="L264" i="1"/>
  <c r="K268" i="1"/>
  <c r="M296" i="1"/>
  <c r="M298" i="1"/>
  <c r="J314" i="1"/>
  <c r="K314" i="1"/>
  <c r="J321" i="1"/>
  <c r="K321" i="1"/>
  <c r="L321" i="1"/>
  <c r="K335" i="1"/>
  <c r="L335" i="1"/>
  <c r="M337" i="1"/>
  <c r="J205" i="1"/>
  <c r="K205" i="1"/>
  <c r="L205" i="1"/>
  <c r="J230" i="1"/>
  <c r="K230" i="1"/>
  <c r="L230" i="1"/>
  <c r="K237" i="1"/>
  <c r="L237" i="1"/>
  <c r="M274" i="1"/>
  <c r="J279" i="1"/>
  <c r="K279" i="1"/>
  <c r="L279" i="1"/>
  <c r="K286" i="1"/>
  <c r="L286" i="1"/>
  <c r="J299" i="1"/>
  <c r="K299" i="1"/>
  <c r="L299" i="1"/>
  <c r="J330" i="1"/>
  <c r="K330" i="1"/>
  <c r="L330" i="1"/>
  <c r="J333" i="1"/>
  <c r="K333" i="1"/>
  <c r="L333" i="1"/>
  <c r="J338" i="1"/>
  <c r="K338" i="1"/>
  <c r="L338" i="1"/>
  <c r="J49" i="1"/>
  <c r="K49" i="1"/>
  <c r="L49" i="1"/>
  <c r="K56" i="1"/>
  <c r="L56" i="1"/>
  <c r="J64" i="1"/>
  <c r="K64" i="1"/>
  <c r="L64" i="1"/>
  <c r="K71" i="1"/>
  <c r="L71" i="1"/>
  <c r="K79" i="1"/>
  <c r="L79" i="1"/>
  <c r="J104" i="1"/>
  <c r="K104" i="1"/>
  <c r="L104" i="1"/>
  <c r="K107" i="1"/>
  <c r="L107" i="1"/>
  <c r="K212" i="1"/>
  <c r="L212" i="1"/>
  <c r="K217" i="1"/>
  <c r="L217" i="1"/>
  <c r="K222" i="1"/>
  <c r="L222" i="1"/>
  <c r="J242" i="1"/>
  <c r="K242" i="1"/>
  <c r="L242" i="1"/>
  <c r="K247" i="1"/>
  <c r="L247" i="1"/>
  <c r="K266" i="1"/>
  <c r="L266" i="1"/>
  <c r="J275" i="1"/>
  <c r="K275" i="1"/>
  <c r="L275" i="1"/>
  <c r="J288" i="1"/>
  <c r="K288" i="1"/>
  <c r="L288" i="1"/>
  <c r="J297" i="1"/>
  <c r="K297" i="1"/>
  <c r="L297" i="1"/>
  <c r="J328" i="1"/>
  <c r="K328" i="1"/>
  <c r="L328" i="1"/>
  <c r="J331" i="1"/>
  <c r="K331" i="1"/>
  <c r="L331" i="1"/>
  <c r="M382" i="1"/>
  <c r="J271" i="1"/>
  <c r="K271" i="1"/>
  <c r="L271" i="1"/>
  <c r="J326" i="1"/>
  <c r="K326" i="1"/>
  <c r="L326" i="1"/>
  <c r="J334" i="1"/>
  <c r="K334" i="1"/>
  <c r="L334" i="1"/>
  <c r="K63" i="1"/>
  <c r="L63" i="1"/>
  <c r="K78" i="1"/>
  <c r="L78" i="1"/>
  <c r="K96" i="1"/>
  <c r="L96" i="1"/>
  <c r="K213" i="1"/>
  <c r="L213" i="1"/>
  <c r="J224" i="1"/>
  <c r="K224" i="1"/>
  <c r="L224" i="1"/>
  <c r="J263" i="1"/>
  <c r="K263" i="1"/>
  <c r="L263" i="1"/>
  <c r="J284" i="1"/>
  <c r="K284" i="1"/>
  <c r="L284" i="1"/>
  <c r="K289" i="1"/>
  <c r="L289" i="1"/>
  <c r="K295" i="1"/>
  <c r="L295" i="1"/>
  <c r="K324" i="1"/>
  <c r="L324" i="1"/>
  <c r="J343" i="1"/>
  <c r="K343" i="1"/>
  <c r="L343" i="1"/>
  <c r="K378" i="1"/>
  <c r="J265" i="1"/>
  <c r="K265" i="1"/>
  <c r="L265" i="1"/>
  <c r="J339" i="1"/>
  <c r="K339" i="1"/>
  <c r="L339" i="1"/>
  <c r="K364" i="1"/>
  <c r="K54" i="1"/>
  <c r="L54" i="1"/>
  <c r="K69" i="1"/>
  <c r="L69" i="1"/>
  <c r="K80" i="1"/>
  <c r="L80" i="1"/>
  <c r="J84" i="1"/>
  <c r="K84" i="1"/>
  <c r="L84" i="1"/>
  <c r="K102" i="1"/>
  <c r="L102" i="1"/>
  <c r="K108" i="1"/>
  <c r="L108" i="1"/>
  <c r="J201" i="1"/>
  <c r="K201" i="1"/>
  <c r="L201" i="1"/>
  <c r="J206" i="1"/>
  <c r="K206" i="1"/>
  <c r="L206" i="1"/>
  <c r="K210" i="1"/>
  <c r="L210" i="1"/>
  <c r="J231" i="1"/>
  <c r="K231" i="1"/>
  <c r="L231" i="1"/>
  <c r="K246" i="1"/>
  <c r="L246" i="1"/>
  <c r="J278" i="1"/>
  <c r="K278" i="1"/>
  <c r="L278" i="1"/>
  <c r="J320" i="1"/>
  <c r="K320" i="1"/>
  <c r="L320" i="1"/>
  <c r="M329" i="1"/>
  <c r="K245" i="1"/>
  <c r="L245" i="1"/>
  <c r="K260" i="1"/>
  <c r="L260" i="1"/>
  <c r="J276" i="1"/>
  <c r="K276" i="1"/>
  <c r="L276" i="1"/>
  <c r="J316" i="1"/>
  <c r="K316" i="1"/>
  <c r="L316" i="1"/>
  <c r="J332" i="1"/>
  <c r="K332" i="1"/>
  <c r="L332" i="1"/>
  <c r="K374" i="1"/>
  <c r="J389" i="1"/>
  <c r="K389" i="1"/>
  <c r="J383" i="1"/>
  <c r="K383" i="1"/>
  <c r="K262" i="1"/>
  <c r="L262" i="1"/>
  <c r="J273" i="1"/>
  <c r="K273" i="1"/>
  <c r="L273" i="1"/>
  <c r="K285" i="1"/>
  <c r="L285" i="1"/>
  <c r="J291" i="1"/>
  <c r="K291" i="1"/>
  <c r="L291" i="1"/>
  <c r="J388" i="1"/>
  <c r="K388" i="1"/>
  <c r="K259" i="1"/>
  <c r="L259" i="1"/>
  <c r="K290" i="1"/>
  <c r="L290" i="1"/>
  <c r="J292" i="1"/>
  <c r="K292" i="1"/>
  <c r="L292" i="1"/>
  <c r="K319" i="1"/>
  <c r="L319" i="1"/>
  <c r="K385" i="1"/>
  <c r="K396" i="1"/>
  <c r="K283" i="1"/>
  <c r="L283" i="1"/>
  <c r="J287" i="1"/>
  <c r="K287" i="1"/>
  <c r="L287" i="1"/>
  <c r="J315" i="1"/>
  <c r="K315" i="1"/>
  <c r="L315" i="1"/>
  <c r="J325" i="1"/>
  <c r="K325" i="1"/>
  <c r="L325" i="1"/>
  <c r="J341" i="1"/>
  <c r="K341" i="1"/>
  <c r="L341" i="1"/>
  <c r="J344" i="1"/>
  <c r="K344" i="1"/>
  <c r="L344" i="1"/>
  <c r="K395" i="1"/>
  <c r="J387" i="1"/>
  <c r="K387" i="1"/>
  <c r="K300" i="1"/>
  <c r="L300" i="1"/>
  <c r="L581" i="1"/>
  <c r="M581" i="1"/>
  <c r="N586" i="1"/>
  <c r="L383" i="1"/>
  <c r="M383" i="1"/>
  <c r="L364" i="1"/>
  <c r="M364" i="1"/>
  <c r="L314" i="1"/>
  <c r="L385" i="1"/>
  <c r="M385" i="1"/>
  <c r="L374" i="1"/>
  <c r="M374" i="1"/>
  <c r="L378" i="1"/>
  <c r="M378" i="1"/>
  <c r="L381" i="1"/>
  <c r="M381" i="1"/>
  <c r="L386" i="1"/>
  <c r="M386" i="1"/>
  <c r="L389" i="1"/>
  <c r="L388" i="1"/>
  <c r="M388" i="1"/>
  <c r="M50" i="1"/>
  <c r="M57" i="1"/>
  <c r="L387" i="1"/>
  <c r="L294" i="1"/>
  <c r="M294" i="1"/>
  <c r="L35" i="1"/>
  <c r="M35" i="1"/>
  <c r="L204" i="1"/>
  <c r="M204" i="1"/>
  <c r="L225" i="1"/>
  <c r="M225" i="1"/>
  <c r="L40" i="1"/>
  <c r="M40" i="1"/>
  <c r="L269" i="1"/>
  <c r="M269" i="1"/>
  <c r="L105" i="1"/>
  <c r="M105" i="1"/>
  <c r="L243" i="1"/>
  <c r="M243" i="1"/>
  <c r="L240" i="1"/>
  <c r="M240" i="1"/>
  <c r="L207" i="1"/>
  <c r="M207" i="1"/>
  <c r="L95" i="1"/>
  <c r="M95" i="1"/>
  <c r="L342" i="1"/>
  <c r="M342" i="1"/>
  <c r="L317" i="1"/>
  <c r="M317" i="1"/>
  <c r="L327" i="1"/>
  <c r="M327" i="1"/>
  <c r="L62" i="1"/>
  <c r="M62" i="1"/>
  <c r="L277" i="1"/>
  <c r="M277" i="1"/>
  <c r="L281" i="1"/>
  <c r="M281" i="1"/>
  <c r="L214" i="1"/>
  <c r="M214" i="1"/>
  <c r="L53" i="1"/>
  <c r="M53" i="1"/>
  <c r="L323" i="1"/>
  <c r="M323" i="1"/>
  <c r="L44" i="1"/>
  <c r="M44" i="1"/>
  <c r="M233" i="1"/>
  <c r="M272" i="1"/>
  <c r="M394" i="1"/>
  <c r="M74" i="1"/>
  <c r="M68" i="1"/>
  <c r="M208" i="1"/>
  <c r="M261" i="1"/>
  <c r="M318" i="1"/>
  <c r="M270" i="1"/>
  <c r="M209" i="1"/>
  <c r="M379" i="1"/>
  <c r="M227" i="1"/>
  <c r="M232" i="1"/>
  <c r="M86" i="1"/>
  <c r="M229" i="1"/>
  <c r="M82" i="1"/>
  <c r="M94" i="1"/>
  <c r="M67" i="1"/>
  <c r="M336" i="1"/>
  <c r="M241" i="1"/>
  <c r="L391" i="1"/>
  <c r="M340" i="1"/>
  <c r="M42" i="1"/>
  <c r="M315" i="1"/>
  <c r="M276" i="1"/>
  <c r="M343" i="1"/>
  <c r="M275" i="1"/>
  <c r="M49" i="1"/>
  <c r="M338" i="1"/>
  <c r="M244" i="1"/>
  <c r="M223" i="1"/>
  <c r="M297" i="1"/>
  <c r="M55" i="1"/>
  <c r="M287" i="1"/>
  <c r="M216" i="1"/>
  <c r="M59" i="1"/>
  <c r="M36" i="1"/>
  <c r="M344" i="1"/>
  <c r="M206" i="1"/>
  <c r="M93" i="1"/>
  <c r="M320" i="1"/>
  <c r="M84" i="1"/>
  <c r="M238" i="1"/>
  <c r="M330" i="1"/>
  <c r="M58" i="1"/>
  <c r="M85" i="1"/>
  <c r="M109" i="1"/>
  <c r="M224" i="1"/>
  <c r="M299" i="1"/>
  <c r="M236" i="1"/>
  <c r="M47" i="1"/>
  <c r="M38" i="1"/>
  <c r="L395" i="1"/>
  <c r="M395" i="1"/>
  <c r="M332" i="1"/>
  <c r="M341" i="1"/>
  <c r="M284" i="1"/>
  <c r="M334" i="1"/>
  <c r="M52" i="1"/>
  <c r="M220" i="1"/>
  <c r="M293" i="1"/>
  <c r="M73" i="1"/>
  <c r="M91" i="1"/>
  <c r="L32" i="1"/>
  <c r="M322" i="1"/>
  <c r="M325" i="1"/>
  <c r="M316" i="1"/>
  <c r="M201" i="1"/>
  <c r="M205" i="1"/>
  <c r="M226" i="1"/>
  <c r="M215" i="1"/>
  <c r="M290" i="1"/>
  <c r="M262" i="1"/>
  <c r="M69" i="1"/>
  <c r="M217" i="1"/>
  <c r="M56" i="1"/>
  <c r="M321" i="1"/>
  <c r="M41" i="1"/>
  <c r="M77" i="1"/>
  <c r="M33" i="1"/>
  <c r="M83" i="1"/>
  <c r="M87" i="1"/>
  <c r="M300" i="1"/>
  <c r="M259" i="1"/>
  <c r="M246" i="1"/>
  <c r="M54" i="1"/>
  <c r="M213" i="1"/>
  <c r="M212" i="1"/>
  <c r="M264" i="1"/>
  <c r="M260" i="1"/>
  <c r="M96" i="1"/>
  <c r="M265" i="1"/>
  <c r="M266" i="1"/>
  <c r="M64" i="1"/>
  <c r="M291" i="1"/>
  <c r="M245" i="1"/>
  <c r="M324" i="1"/>
  <c r="M263" i="1"/>
  <c r="M78" i="1"/>
  <c r="M326" i="1"/>
  <c r="M288" i="1"/>
  <c r="M247" i="1"/>
  <c r="M107" i="1"/>
  <c r="M242" i="1"/>
  <c r="M104" i="1"/>
  <c r="M88" i="1"/>
  <c r="M75" i="1"/>
  <c r="M61" i="1"/>
  <c r="M48" i="1"/>
  <c r="M239" i="1"/>
  <c r="M108" i="1"/>
  <c r="M63" i="1"/>
  <c r="M286" i="1"/>
  <c r="M237" i="1"/>
  <c r="L396" i="1"/>
  <c r="M396" i="1"/>
  <c r="M319" i="1"/>
  <c r="M285" i="1"/>
  <c r="M231" i="1"/>
  <c r="M102" i="1"/>
  <c r="M331" i="1"/>
  <c r="M79" i="1"/>
  <c r="M279" i="1"/>
  <c r="M230" i="1"/>
  <c r="M234" i="1"/>
  <c r="M72" i="1"/>
  <c r="M106" i="1"/>
  <c r="M34" i="1"/>
  <c r="M202" i="1"/>
  <c r="M103" i="1"/>
  <c r="M100" i="1"/>
  <c r="M210" i="1"/>
  <c r="M295" i="1"/>
  <c r="M71" i="1"/>
  <c r="M335" i="1"/>
  <c r="M203" i="1"/>
  <c r="M283" i="1"/>
  <c r="M292" i="1"/>
  <c r="M273" i="1"/>
  <c r="M278" i="1"/>
  <c r="M80" i="1"/>
  <c r="M289" i="1"/>
  <c r="M219" i="1"/>
  <c r="M339" i="1"/>
  <c r="M271" i="1"/>
  <c r="M328" i="1"/>
  <c r="M222" i="1"/>
  <c r="M333" i="1"/>
  <c r="L268" i="1"/>
  <c r="M46" i="1"/>
  <c r="M218" i="1"/>
  <c r="M43" i="1"/>
  <c r="M89" i="1"/>
  <c r="M90" i="1"/>
  <c r="M98" i="1"/>
  <c r="M211" i="1"/>
  <c r="G592" i="1"/>
  <c r="G591" i="1"/>
  <c r="F590" i="1"/>
  <c r="F586" i="1"/>
  <c r="M389" i="1"/>
  <c r="M391" i="1"/>
  <c r="M387" i="1"/>
  <c r="M314" i="1"/>
  <c r="M268" i="1"/>
  <c r="M32" i="1"/>
  <c r="G593" i="1"/>
  <c r="G588" i="1"/>
  <c r="G589" i="1"/>
  <c r="I586" i="1"/>
  <c r="K549" i="1"/>
  <c r="L549" i="1"/>
  <c r="J586" i="1"/>
  <c r="J590" i="1"/>
  <c r="G587" i="1"/>
  <c r="K563" i="1"/>
  <c r="L563" i="1"/>
  <c r="K567" i="1"/>
  <c r="L567" i="1"/>
  <c r="M567" i="1"/>
  <c r="K546" i="1"/>
  <c r="J514" i="1"/>
  <c r="K514" i="1"/>
  <c r="L514" i="1"/>
  <c r="K552" i="1"/>
  <c r="L552" i="1"/>
  <c r="K548" i="1"/>
  <c r="K555" i="1"/>
  <c r="L555" i="1"/>
  <c r="M555" i="1"/>
  <c r="K554" i="1"/>
  <c r="L554" i="1"/>
  <c r="K569" i="1"/>
  <c r="L569" i="1"/>
  <c r="K557" i="1"/>
  <c r="L557" i="1"/>
  <c r="K565" i="1"/>
  <c r="K566" i="1"/>
  <c r="L566" i="1"/>
  <c r="K561" i="1"/>
  <c r="L561" i="1"/>
  <c r="K547" i="1"/>
  <c r="L547" i="1"/>
  <c r="J513" i="1"/>
  <c r="K513" i="1"/>
  <c r="L513" i="1"/>
  <c r="K564" i="1"/>
  <c r="L564" i="1"/>
  <c r="K551" i="1"/>
  <c r="L551" i="1"/>
  <c r="M551" i="1"/>
  <c r="K560" i="1"/>
  <c r="L560" i="1"/>
  <c r="K559" i="1"/>
  <c r="L559" i="1"/>
  <c r="K562" i="1"/>
  <c r="L562" i="1"/>
  <c r="J512" i="1"/>
  <c r="K512" i="1"/>
  <c r="M549" i="1"/>
  <c r="K558" i="1"/>
  <c r="L565" i="1"/>
  <c r="M565" i="1"/>
  <c r="L546" i="1"/>
  <c r="M546" i="1"/>
  <c r="L512" i="1"/>
  <c r="M566" i="1"/>
  <c r="M569" i="1"/>
  <c r="M560" i="1"/>
  <c r="M554" i="1"/>
  <c r="M559" i="1"/>
  <c r="M547" i="1"/>
  <c r="M513" i="1"/>
  <c r="M514" i="1"/>
  <c r="M564" i="1"/>
  <c r="M562" i="1"/>
  <c r="M552" i="1"/>
  <c r="M563" i="1"/>
  <c r="M557" i="1"/>
  <c r="L548" i="1"/>
  <c r="M548" i="1"/>
  <c r="M561" i="1"/>
  <c r="L558" i="1"/>
  <c r="M558" i="1"/>
  <c r="M512" i="1"/>
  <c r="J509" i="1"/>
  <c r="K509" i="1"/>
  <c r="L509" i="1"/>
  <c r="M509" i="1"/>
  <c r="J437" i="1"/>
  <c r="K437" i="1"/>
  <c r="L437" i="1"/>
  <c r="M437" i="1"/>
  <c r="J425" i="1"/>
  <c r="K425" i="1"/>
  <c r="L425" i="1"/>
  <c r="M425" i="1"/>
  <c r="J404" i="1"/>
  <c r="K404" i="1"/>
  <c r="L404" i="1"/>
  <c r="M404" i="1"/>
  <c r="J453" i="1"/>
  <c r="K453" i="1"/>
  <c r="L453" i="1"/>
  <c r="M453" i="1"/>
  <c r="J436" i="1"/>
  <c r="K436" i="1"/>
  <c r="L436" i="1"/>
  <c r="M436" i="1"/>
  <c r="J503" i="1"/>
  <c r="K503" i="1"/>
  <c r="L503" i="1"/>
  <c r="M503" i="1"/>
  <c r="J412" i="1"/>
  <c r="K412" i="1"/>
  <c r="L412" i="1"/>
  <c r="J435" i="1"/>
  <c r="K435" i="1"/>
  <c r="L435" i="1"/>
  <c r="M435" i="1"/>
  <c r="J420" i="1"/>
  <c r="K420" i="1"/>
  <c r="L420" i="1"/>
  <c r="M420" i="1"/>
  <c r="J508" i="1"/>
  <c r="K508" i="1"/>
  <c r="L508" i="1"/>
  <c r="J451" i="1"/>
  <c r="K451" i="1"/>
  <c r="L451" i="1"/>
  <c r="M451" i="1"/>
  <c r="J430" i="1"/>
  <c r="K430" i="1"/>
  <c r="L430" i="1"/>
  <c r="M430" i="1"/>
  <c r="J445" i="1"/>
  <c r="K445" i="1"/>
  <c r="L445" i="1"/>
  <c r="J443" i="1"/>
  <c r="K443" i="1"/>
  <c r="L443" i="1"/>
  <c r="J432" i="1"/>
  <c r="K432" i="1"/>
  <c r="L432" i="1"/>
  <c r="M432" i="1"/>
  <c r="J500" i="1"/>
  <c r="K500" i="1"/>
  <c r="L500" i="1"/>
  <c r="M500" i="1"/>
  <c r="J408" i="1"/>
  <c r="K408" i="1"/>
  <c r="L408" i="1"/>
  <c r="M408" i="1"/>
  <c r="J447" i="1"/>
  <c r="K447" i="1"/>
  <c r="L447" i="1"/>
  <c r="M447" i="1"/>
  <c r="J504" i="1"/>
  <c r="K504" i="1"/>
  <c r="L504" i="1"/>
  <c r="M504" i="1"/>
  <c r="J501" i="1"/>
  <c r="K501" i="1"/>
  <c r="L501" i="1"/>
  <c r="J402" i="1"/>
  <c r="K402" i="1"/>
  <c r="L402" i="1"/>
  <c r="M402" i="1"/>
  <c r="J441" i="1"/>
  <c r="K441" i="1"/>
  <c r="J409" i="1"/>
  <c r="K409" i="1"/>
  <c r="J461" i="1"/>
  <c r="K461" i="1"/>
  <c r="J429" i="1"/>
  <c r="K429" i="1"/>
  <c r="J462" i="1"/>
  <c r="K462" i="1"/>
  <c r="J419" i="1"/>
  <c r="K419" i="1"/>
  <c r="J464" i="1"/>
  <c r="K464" i="1"/>
  <c r="J440" i="1"/>
  <c r="K440" i="1"/>
  <c r="J431" i="1"/>
  <c r="K431" i="1"/>
  <c r="J457" i="1"/>
  <c r="K457" i="1"/>
  <c r="J428" i="1"/>
  <c r="K428" i="1"/>
  <c r="J463" i="1"/>
  <c r="K463" i="1"/>
  <c r="J456" i="1"/>
  <c r="K456" i="1"/>
  <c r="J413" i="1"/>
  <c r="K413" i="1"/>
  <c r="J455" i="1"/>
  <c r="K455" i="1"/>
  <c r="J449" i="1"/>
  <c r="K449" i="1"/>
  <c r="J452" i="1"/>
  <c r="K452" i="1"/>
  <c r="J424" i="1"/>
  <c r="K424" i="1"/>
  <c r="J423" i="1"/>
  <c r="K423" i="1"/>
  <c r="J421" i="1"/>
  <c r="K421" i="1"/>
  <c r="J446" i="1"/>
  <c r="K446" i="1"/>
  <c r="J410" i="1"/>
  <c r="K410" i="1"/>
  <c r="J426" i="1"/>
  <c r="K426" i="1"/>
  <c r="J454" i="1"/>
  <c r="K454" i="1"/>
  <c r="J510" i="1"/>
  <c r="K510" i="1"/>
  <c r="J399" i="1"/>
  <c r="K399" i="1"/>
  <c r="J465" i="1"/>
  <c r="K465" i="1"/>
  <c r="J416" i="1"/>
  <c r="K416" i="1"/>
  <c r="J411" i="1"/>
  <c r="K411" i="1"/>
  <c r="J505" i="1"/>
  <c r="K505" i="1"/>
  <c r="J407" i="1"/>
  <c r="K407" i="1"/>
  <c r="J444" i="1"/>
  <c r="K444" i="1"/>
  <c r="J438" i="1"/>
  <c r="K438" i="1"/>
  <c r="J439" i="1"/>
  <c r="K439" i="1"/>
  <c r="J460" i="1"/>
  <c r="K460" i="1"/>
  <c r="J415" i="1"/>
  <c r="K415" i="1"/>
  <c r="J498" i="1"/>
  <c r="K498" i="1"/>
  <c r="J496" i="1"/>
  <c r="K496" i="1"/>
  <c r="J448" i="1"/>
  <c r="K448" i="1"/>
  <c r="J507" i="1"/>
  <c r="K507" i="1"/>
  <c r="J495" i="1"/>
  <c r="K495" i="1"/>
  <c r="J459" i="1"/>
  <c r="K459" i="1"/>
  <c r="M445" i="1"/>
  <c r="M508" i="1"/>
  <c r="L441" i="1"/>
  <c r="M441" i="1"/>
  <c r="M412" i="1"/>
  <c r="M501" i="1"/>
  <c r="M443" i="1"/>
  <c r="L457" i="1"/>
  <c r="M457" i="1"/>
  <c r="L449" i="1"/>
  <c r="M449" i="1"/>
  <c r="L496" i="1"/>
  <c r="M496" i="1"/>
  <c r="L411" i="1"/>
  <c r="M411" i="1"/>
  <c r="L440" i="1"/>
  <c r="M440" i="1"/>
  <c r="L416" i="1"/>
  <c r="M416" i="1"/>
  <c r="L409" i="1"/>
  <c r="M409" i="1"/>
  <c r="L448" i="1"/>
  <c r="M448" i="1"/>
  <c r="L424" i="1"/>
  <c r="M424" i="1"/>
  <c r="L429" i="1"/>
  <c r="M429" i="1"/>
  <c r="L505" i="1"/>
  <c r="M505" i="1"/>
  <c r="L498" i="1"/>
  <c r="M498" i="1"/>
  <c r="L455" i="1"/>
  <c r="M455" i="1"/>
  <c r="L410" i="1"/>
  <c r="M410" i="1"/>
  <c r="L459" i="1"/>
  <c r="M459" i="1"/>
  <c r="L446" i="1"/>
  <c r="M446" i="1"/>
  <c r="L456" i="1"/>
  <c r="M456" i="1"/>
  <c r="L444" i="1"/>
  <c r="M444" i="1"/>
  <c r="L428" i="1"/>
  <c r="M428" i="1"/>
  <c r="L407" i="1"/>
  <c r="M407" i="1"/>
  <c r="L452" i="1"/>
  <c r="M452" i="1"/>
  <c r="L431" i="1"/>
  <c r="L426" i="1"/>
  <c r="M426" i="1"/>
  <c r="L415" i="1"/>
  <c r="M415" i="1"/>
  <c r="L460" i="1"/>
  <c r="M460" i="1"/>
  <c r="L439" i="1"/>
  <c r="M439" i="1"/>
  <c r="L421" i="1"/>
  <c r="M421" i="1"/>
  <c r="L464" i="1"/>
  <c r="M464" i="1"/>
  <c r="L399" i="1"/>
  <c r="L462" i="1"/>
  <c r="M462" i="1"/>
  <c r="L510" i="1"/>
  <c r="M510" i="1"/>
  <c r="L454" i="1"/>
  <c r="M454" i="1"/>
  <c r="L461" i="1"/>
  <c r="M461" i="1"/>
  <c r="L413" i="1"/>
  <c r="M413" i="1"/>
  <c r="L495" i="1"/>
  <c r="M495" i="1"/>
  <c r="L507" i="1"/>
  <c r="M507" i="1"/>
  <c r="L438" i="1"/>
  <c r="M438" i="1"/>
  <c r="L465" i="1"/>
  <c r="M465" i="1"/>
  <c r="L423" i="1"/>
  <c r="M423" i="1"/>
  <c r="L463" i="1"/>
  <c r="M463" i="1"/>
  <c r="L419" i="1"/>
  <c r="M419" i="1"/>
  <c r="M399" i="1"/>
  <c r="M431" i="1"/>
  <c r="J406" i="1"/>
  <c r="K406" i="1"/>
  <c r="L406" i="1"/>
  <c r="M406" i="1"/>
  <c r="J403" i="1"/>
  <c r="K403" i="1"/>
  <c r="L403" i="1"/>
  <c r="M403" i="1"/>
  <c r="J400" i="1"/>
  <c r="K400" i="1"/>
  <c r="L400" i="1"/>
  <c r="J401" i="1"/>
  <c r="K401" i="1"/>
  <c r="L401" i="1"/>
  <c r="M401" i="1"/>
  <c r="M400" i="1"/>
  <c r="I590" i="1"/>
  <c r="J417" i="1"/>
  <c r="K417" i="1"/>
  <c r="L417" i="1"/>
  <c r="M417" i="1"/>
  <c r="J398" i="1"/>
  <c r="K398" i="1"/>
  <c r="N668" i="1"/>
  <c r="F668" i="1"/>
  <c r="L398" i="1"/>
  <c r="I668" i="1"/>
  <c r="M398" i="1"/>
  <c r="I669" i="1"/>
  <c r="J668" i="1"/>
  <c r="G636" i="1"/>
  <c r="G672" i="1"/>
  <c r="G617" i="1"/>
  <c r="I615" i="1"/>
  <c r="G616" i="1"/>
  <c r="J615" i="1"/>
  <c r="G647" i="1"/>
  <c r="G649" i="1"/>
  <c r="J646" i="1"/>
  <c r="F10" i="1"/>
  <c r="F25" i="1"/>
  <c r="I12" i="1"/>
  <c r="I10" i="1"/>
  <c r="I4" i="1"/>
  <c r="I28" i="1"/>
  <c r="I17" i="1"/>
  <c r="I23" i="1"/>
  <c r="F4" i="1"/>
  <c r="I25" i="1"/>
  <c r="I21" i="1"/>
  <c r="I14" i="1"/>
  <c r="I22" i="1"/>
  <c r="F12" i="1"/>
  <c r="F6" i="1"/>
  <c r="I27" i="1"/>
  <c r="G3" i="1"/>
  <c r="F14" i="1"/>
  <c r="F24" i="1"/>
  <c r="I13" i="1"/>
  <c r="F5" i="1"/>
  <c r="F28" i="1"/>
  <c r="F3" i="1"/>
  <c r="J3" i="1"/>
  <c r="F19" i="1"/>
  <c r="I19" i="1"/>
  <c r="F21" i="1"/>
  <c r="I5" i="1"/>
  <c r="I24" i="1"/>
  <c r="I7" i="1"/>
  <c r="I18" i="1"/>
  <c r="F15" i="1"/>
  <c r="I6" i="1"/>
  <c r="F22" i="1"/>
  <c r="F7" i="1"/>
  <c r="F17" i="1"/>
  <c r="F9" i="1"/>
  <c r="F18" i="1"/>
  <c r="I9" i="1"/>
  <c r="I26" i="1"/>
  <c r="O696" i="1"/>
  <c r="I3" i="1"/>
  <c r="F27" i="1"/>
  <c r="F23" i="1"/>
  <c r="F20" i="1"/>
  <c r="I11" i="1"/>
  <c r="I20" i="1"/>
  <c r="I15" i="1"/>
  <c r="F11" i="1"/>
  <c r="F13" i="1"/>
  <c r="F26" i="1"/>
  <c r="J13" i="1"/>
  <c r="J11" i="1"/>
  <c r="G24" i="1"/>
  <c r="J15" i="1"/>
  <c r="J4" i="1"/>
  <c r="G4" i="1"/>
  <c r="G27" i="1"/>
  <c r="J24" i="1"/>
  <c r="G17" i="1"/>
  <c r="J7" i="1"/>
  <c r="J26" i="1"/>
  <c r="G5" i="1"/>
  <c r="G25" i="1"/>
  <c r="G20" i="1"/>
  <c r="J6" i="1"/>
  <c r="G23" i="1"/>
  <c r="J12" i="1"/>
  <c r="J17" i="1"/>
  <c r="K17" i="1"/>
  <c r="J9" i="1"/>
  <c r="G22" i="1"/>
  <c r="G6" i="1"/>
  <c r="G12" i="1"/>
  <c r="G19" i="1"/>
  <c r="J10" i="1"/>
  <c r="J5" i="1"/>
  <c r="G9" i="1"/>
  <c r="G13" i="1"/>
  <c r="G7" i="1"/>
  <c r="J27" i="1"/>
  <c r="J23" i="1"/>
  <c r="J25" i="1"/>
  <c r="J14" i="1"/>
  <c r="J22" i="1"/>
  <c r="J20" i="1"/>
  <c r="J18" i="1"/>
  <c r="G15" i="1"/>
  <c r="G14" i="1"/>
  <c r="J28" i="1"/>
  <c r="G11" i="1"/>
  <c r="J19" i="1"/>
  <c r="J21" i="1"/>
  <c r="K21" i="1"/>
  <c r="G10" i="1"/>
  <c r="G18" i="1"/>
  <c r="N696" i="1"/>
  <c r="F696" i="1"/>
  <c r="K28" i="1"/>
  <c r="H7" i="1"/>
  <c r="H15" i="1"/>
  <c r="H22" i="1"/>
  <c r="K26" i="1"/>
  <c r="K7" i="1"/>
  <c r="H12" i="1"/>
  <c r="N689" i="1"/>
  <c r="F689" i="1"/>
  <c r="I689" i="1"/>
  <c r="H23" i="1"/>
  <c r="H11" i="1"/>
  <c r="H19" i="1"/>
  <c r="K6" i="1"/>
  <c r="K18" i="1"/>
  <c r="H18" i="1"/>
  <c r="K20" i="1"/>
  <c r="K24" i="1"/>
  <c r="H13" i="1"/>
  <c r="K19" i="1"/>
  <c r="H14" i="1"/>
  <c r="K15" i="1"/>
  <c r="J29" i="1"/>
  <c r="H20" i="1"/>
  <c r="H5" i="1"/>
  <c r="K22" i="1"/>
  <c r="K4" i="1"/>
  <c r="H27" i="1"/>
  <c r="H17" i="1"/>
  <c r="K5" i="1"/>
  <c r="K13" i="1"/>
  <c r="K14" i="1"/>
  <c r="K10" i="1"/>
  <c r="H9" i="1"/>
  <c r="K27" i="1"/>
  <c r="K3" i="1"/>
  <c r="H24" i="1"/>
  <c r="K12" i="1"/>
  <c r="H25" i="1"/>
  <c r="K25" i="1"/>
  <c r="K9" i="1"/>
  <c r="H4" i="1"/>
  <c r="H10" i="1"/>
  <c r="K23" i="1"/>
  <c r="K11" i="1"/>
  <c r="F29" i="1"/>
  <c r="H6" i="1"/>
  <c r="N673" i="1"/>
  <c r="I29" i="1"/>
  <c r="H3" i="1"/>
  <c r="F692" i="1"/>
  <c r="G694" i="1"/>
  <c r="G691" i="1"/>
  <c r="G690" i="1"/>
  <c r="K29" i="1"/>
  <c r="F681" i="1"/>
  <c r="F673" i="1"/>
  <c r="G698" i="1"/>
  <c r="I696" i="1"/>
  <c r="I692" i="1"/>
  <c r="J689" i="1"/>
  <c r="J696" i="1"/>
  <c r="G697" i="1"/>
  <c r="G683" i="1"/>
  <c r="I681" i="1"/>
  <c r="G675" i="1"/>
  <c r="I673" i="1"/>
  <c r="J692" i="1"/>
  <c r="G693" i="1"/>
  <c r="G695" i="1"/>
  <c r="G26" i="1"/>
  <c r="H26" i="1"/>
  <c r="G682" i="1"/>
  <c r="J681" i="1"/>
  <c r="G688" i="1"/>
  <c r="G680" i="1"/>
  <c r="G21" i="1"/>
  <c r="G674" i="1"/>
  <c r="G28" i="1"/>
  <c r="H28" i="1"/>
  <c r="J673" i="1"/>
  <c r="G29" i="1"/>
  <c r="H21" i="1"/>
  <c r="H29" i="1"/>
</calcChain>
</file>

<file path=xl/sharedStrings.xml><?xml version="1.0" encoding="utf-8"?>
<sst xmlns="http://schemas.openxmlformats.org/spreadsheetml/2006/main" count="1862" uniqueCount="691">
  <si>
    <t>condiciones</t>
  </si>
  <si>
    <t>Razón Social</t>
  </si>
  <si>
    <t>MARCA</t>
  </si>
  <si>
    <t>Piezas Facturadas</t>
  </si>
  <si>
    <t>Promoción</t>
  </si>
  <si>
    <t>Total Unidades</t>
  </si>
  <si>
    <t>Sub-Total C/ Dcto</t>
  </si>
  <si>
    <t>IVA</t>
  </si>
  <si>
    <t>Total a Facturar</t>
  </si>
  <si>
    <t xml:space="preserve">Selecciona el circuito correspondiente de tu cliente. </t>
  </si>
  <si>
    <t xml:space="preserve">vta </t>
  </si>
  <si>
    <t>ofta</t>
  </si>
  <si>
    <t>Nombre del Salón</t>
  </si>
  <si>
    <t>COLOR PERFECT</t>
  </si>
  <si>
    <t>Número de Cliente</t>
  </si>
  <si>
    <t>COLOR TOUCH</t>
  </si>
  <si>
    <t>Asesor Comercial</t>
  </si>
  <si>
    <t>MÉTODO DE PAGO</t>
  </si>
  <si>
    <t>Zona</t>
  </si>
  <si>
    <t>ILLUMINA COLOR</t>
  </si>
  <si>
    <t>Parcial</t>
  </si>
  <si>
    <t>Gerente Comercial</t>
  </si>
  <si>
    <t>SHINE FINITY</t>
  </si>
  <si>
    <t>Platino</t>
  </si>
  <si>
    <t>Total</t>
  </si>
  <si>
    <t>Fecha</t>
  </si>
  <si>
    <t>Oro</t>
  </si>
  <si>
    <t>Método de pago</t>
  </si>
  <si>
    <t>WELLOXON</t>
  </si>
  <si>
    <t>EMULSIÓN</t>
  </si>
  <si>
    <t xml:space="preserve">Plata </t>
  </si>
  <si>
    <t>ACTIVADOR SF</t>
  </si>
  <si>
    <t>Bronce</t>
  </si>
  <si>
    <t>REVELADOR FL</t>
  </si>
  <si>
    <t>BLONDOR MB 400</t>
  </si>
  <si>
    <t>WELLA Color</t>
  </si>
  <si>
    <t>BLONDOR MB 800</t>
  </si>
  <si>
    <t>Circuito</t>
  </si>
  <si>
    <t>BLONDORPLEX 800</t>
  </si>
  <si>
    <t>Descuento</t>
  </si>
  <si>
    <t>BLONDOR FL 800</t>
  </si>
  <si>
    <t>WELLAPLEX</t>
  </si>
  <si>
    <t>WELLASTRATE</t>
  </si>
  <si>
    <t>INVIGO</t>
  </si>
  <si>
    <t xml:space="preserve">WELLA Boutique </t>
  </si>
  <si>
    <t>EIMI</t>
  </si>
  <si>
    <t>SP</t>
  </si>
  <si>
    <t>BUNDLEPACKS</t>
  </si>
  <si>
    <t>MATERIALES</t>
  </si>
  <si>
    <t>Folio</t>
  </si>
  <si>
    <t>TOTAL PEDIDO</t>
  </si>
  <si>
    <t>Bronc</t>
  </si>
  <si>
    <t>CÓDIGO</t>
  </si>
  <si>
    <t>PRODUCTO</t>
  </si>
  <si>
    <t>PRECIO SALÓN</t>
  </si>
  <si>
    <t>PEDIDO</t>
  </si>
  <si>
    <t>PROMOCIÓN</t>
  </si>
  <si>
    <t>TOTAL UNIDADES</t>
  </si>
  <si>
    <t>SUB-TOTAL</t>
  </si>
  <si>
    <t>DESCUENTO</t>
  </si>
  <si>
    <t>SUB-TOTAL CON DESCUENTO</t>
  </si>
  <si>
    <t>TOTAL A FACTURAR</t>
  </si>
  <si>
    <t>CP 60 ml. 2/0 Negro</t>
  </si>
  <si>
    <t>CP 60 ml. 3/0 Castaño Oscuro</t>
  </si>
  <si>
    <t>CP 60 ml. 4/0 Castaño Mediano</t>
  </si>
  <si>
    <t>CP 60 ml. 4/66 Castaño Mediano Violeta Intenso</t>
  </si>
  <si>
    <t>CP 60 ml. 4/77 Castaño Mediano Marrón Intenso</t>
  </si>
  <si>
    <t>CP 60 ml. 5/0 Castaño Claro</t>
  </si>
  <si>
    <t>CP 60 ml. 5/1 Castaño Claro Ceniza</t>
  </si>
  <si>
    <t>CP 60 ml. 5/3 Castaño Claro Dorado</t>
  </si>
  <si>
    <t>CP 60 ml. 5/5 Castaño Claro Caoba</t>
  </si>
  <si>
    <t>CP 60 ml. 5/66 Castaño Claro Violeta Intenso</t>
  </si>
  <si>
    <t>CP 60 ml. 5/73 Castaño Claro Marrón Dorado</t>
  </si>
  <si>
    <t>CP 60 ml. 5/77 Castaño Claro Marrón Intenso</t>
  </si>
  <si>
    <t>CP 60 ml. 6/0 Rubio Oscuro</t>
  </si>
  <si>
    <t>CP 60 ml. 6/07 Rubio Oscuro Natural Marrón</t>
  </si>
  <si>
    <t>CP 60 ml. 6/1 Rubio Oscuro Ceniza</t>
  </si>
  <si>
    <t>CP 60 ml. 6/2 Rubio Oscuro Mate</t>
  </si>
  <si>
    <t>CP 60 ml. 6/3 Rubio Oscuro Dorado</t>
  </si>
  <si>
    <t>CP 60 ml. 6/4 Rubio Oscuro Rojo</t>
  </si>
  <si>
    <t>CP 60 ml. 6/45 Rubio Oscuro Rojo Caoba</t>
  </si>
  <si>
    <t>CP 60 ml. 6/7 Rubio Oscuro Marrón</t>
  </si>
  <si>
    <t>CP 60 ml. 6/73 Rubio Oscuro Marrón Dorado</t>
  </si>
  <si>
    <t>CP 60 ml. 6/77 Rubio Oscuro Marrón Intenso</t>
  </si>
  <si>
    <t>CP 60 ml. 66/46 Rubio Oscuro Intenso Rojo Violeta</t>
  </si>
  <si>
    <t>CP 60 ml. 66/71 Rubio Oscuro Intenso Marrón Ceniza</t>
  </si>
  <si>
    <t>CP 60 ml. 7/0 Rubio Mediano</t>
  </si>
  <si>
    <t>CP 60 ml. 7/01 Rubio Mediano Natural Ceniza</t>
  </si>
  <si>
    <t>CP 60 ml. 7/03 Rubio Mediano Natural Dorado</t>
  </si>
  <si>
    <t>CP 60 ml. 7/07 Rubio Mediano Natural Marrón</t>
  </si>
  <si>
    <t>CP 60 ml. 7/1 Rubio Mediano Ceniza</t>
  </si>
  <si>
    <t>CP 60 ml. 7/11 Rubio Mediano Ceniza Intenso</t>
  </si>
  <si>
    <t>CP 60 ml. 7/2 Rubio Mediano Mate</t>
  </si>
  <si>
    <t>CP 60 ml. 7/3 Rubio Mediano Dorado</t>
  </si>
  <si>
    <t>CP 60 ml. 7/37 Rubio Mediano Dorado Marrón</t>
  </si>
  <si>
    <t>CP 60 ml. 7/4 Rubio Mediano Rojo</t>
  </si>
  <si>
    <t>CP 60 ml. 7/45 Rubio Mediano Rojo Caoba</t>
  </si>
  <si>
    <t>CP 60 ml. 7/7 Rubio Mediano Marrón</t>
  </si>
  <si>
    <t>CP 60 ml. 7/73 Rubio Mediano Marrón Dorado</t>
  </si>
  <si>
    <t>CP 60 ml. 7/77 Rubio Mediano Marrón Intenso</t>
  </si>
  <si>
    <t>CP 60 ml. 77/44 Rubio Mediano Intenso Rojo Intenso</t>
  </si>
  <si>
    <t>CP 60 ml. 77/71 Rubio Mediano Intenso Marrón Ceniza</t>
  </si>
  <si>
    <t>CP 60 ml. 8/0 Rubio Claro</t>
  </si>
  <si>
    <t>CP 60 ml. 8/01 Rubio Claro Natural Ceniza</t>
  </si>
  <si>
    <t>CP 60 ml. 8/03 Rubio Claro Natural Dorado</t>
  </si>
  <si>
    <t>CP 60 ml. 8/07 Rubio Claro Natural Marrón</t>
  </si>
  <si>
    <t>CP 60 ml. 8/1 Rubio Claro Ceniza</t>
  </si>
  <si>
    <t>CP 60 ml. 8/2 Rubio Claro Mate</t>
  </si>
  <si>
    <t>CP 60 ml. 8/3 Rubio Claro Dorado</t>
  </si>
  <si>
    <t>CP 60 ml. 8/4 Rubio Claro Rojo</t>
  </si>
  <si>
    <t>CP 60 ml. 8/7 Rubio Claro Marrón</t>
  </si>
  <si>
    <t>CP 60 ml. 88/71 Rubio Claro Intenso Marrón Ceniza</t>
  </si>
  <si>
    <t>CP 60 ml. 8/73 Rubio Claro Marrón Dorado</t>
  </si>
  <si>
    <t>CP 60 ml. 9/0 Rubio Extra Claro</t>
  </si>
  <si>
    <t>CP 60 ml. 9/01 Rubio Extra Claro Natural Ceniza</t>
  </si>
  <si>
    <t>CP 60 ml. 9/1 Rubio Extra Claro Ceniza</t>
  </si>
  <si>
    <t>CP 60 ml. 9/11 Rubio Extra Claro Ceniza Intenso</t>
  </si>
  <si>
    <t>CP 60 ml. 9/16 Rubio Extra Claro Ceniza Violeta</t>
  </si>
  <si>
    <t>CP 60 ml. 9/3 Rubio Extra Claro Dorado</t>
  </si>
  <si>
    <t>CP 60 ml. 9/8 Rubio Extra Claro Perla</t>
  </si>
  <si>
    <t>CP 60 ml. 10/0 Rubio Ultra Claro</t>
  </si>
  <si>
    <t>CP 60 ml. 10/1 Rubio Ultra Claro Ceniza</t>
  </si>
  <si>
    <t>CP 60 ml. 12/0 Rubio Especial</t>
  </si>
  <si>
    <t>CP 60 ml. 12/1 Rubio Especial Ceniza</t>
  </si>
  <si>
    <t>CP 60 ml. 12/11 Rubio Especial Ceniza Intenso</t>
  </si>
  <si>
    <t>CP 60 ml. 12/89 Rubio Especial Perla Cendre</t>
  </si>
  <si>
    <t>CP 60 ml. 0/11 Ceniza</t>
  </si>
  <si>
    <t>CP 60 ml. 0/22 Mate</t>
  </si>
  <si>
    <t>CP 60 ml. 0/33 Dorado</t>
  </si>
  <si>
    <t>CP 60 ml. 0/43 Rojo Dorado</t>
  </si>
  <si>
    <t>CP 60 ml. 0/45 Rojo Caoba</t>
  </si>
  <si>
    <t>CP 60 ml. 0/66 Violeta</t>
  </si>
  <si>
    <t>CP 60 ml. 0/88 Azul</t>
  </si>
  <si>
    <t>CT 60 ml. 2/0 Negro</t>
  </si>
  <si>
    <t>CT 60 ml. 2/8 Negro Perla</t>
  </si>
  <si>
    <t>CT 60 ml. 3/0 Castaño Oscuro</t>
  </si>
  <si>
    <t>CT 60 ml. 3/66 Castaño Oscuro Violeta Intenso</t>
  </si>
  <si>
    <t>CT 60 ml. 4/0 Castaño Mediano</t>
  </si>
  <si>
    <t>CT 60 ml. 44/65 Castaño Mediano Intenso Violeta Caoba</t>
  </si>
  <si>
    <t>CT 60 ml. 5/0 Castaño Claro</t>
  </si>
  <si>
    <t>CT 60 ml. 5/1 Castaño Claro Ceniza</t>
  </si>
  <si>
    <t>CT 60 ml. 5/5 Castaño Claro Caoba</t>
  </si>
  <si>
    <t>CT 60 ml. 5/66 Castaño Claro Violeta Intenso</t>
  </si>
  <si>
    <t>CT 60 ml. 5/71 Castaño Claro Marrón Ceniza</t>
  </si>
  <si>
    <t>CT 60 ml. 55/54 Castaño Claro Intenso Caoba Rojo</t>
  </si>
  <si>
    <t>CT 60 ml. 6/0 Rubio Oscuro</t>
  </si>
  <si>
    <t>CT 60 ml. 6/3 Rubio Oscuro Dorado</t>
  </si>
  <si>
    <t>CT 60 ml. 6/37 Rubio Oscuro Dorado Marrón</t>
  </si>
  <si>
    <t>CT 60 ml. 6/45 Rubio Oscuro Rojo Caoba</t>
  </si>
  <si>
    <t>CT 60 ml. 6/7 Rubio Oscuro Marrón</t>
  </si>
  <si>
    <t>CT 60 ml. 6/71 Rubio Oscuro Marrón Ceniza</t>
  </si>
  <si>
    <t>CT 60 ml. 6/77 Rubio Oscuro Marrón Intenso</t>
  </si>
  <si>
    <t>CT 60 ml. 66/45 Rubio Oscuro Intenso Rojo Caoba</t>
  </si>
  <si>
    <t>CT 60 ml. 7/0 Rubio Mediano</t>
  </si>
  <si>
    <t>CT 60 ml. 7/1 Rubio Mediano Ceniza</t>
  </si>
  <si>
    <t>CT 60 ml. 7/3 Rubio Mediano Dorado</t>
  </si>
  <si>
    <t>CT 60 ml. 7/43 Rubio Mediano Rojo Dorado</t>
  </si>
  <si>
    <t>CT 60 ml. 7/7 Rubio Mediano Marrón</t>
  </si>
  <si>
    <t>CT 60 ml. 7/71 Rubio Mediano Marrón Ceniza</t>
  </si>
  <si>
    <t>CT 60 ml. 7/73 Rubio Mediano Marrón Dorado</t>
  </si>
  <si>
    <t>CT 60 ml. 7/89 Rubio Mediano Perla Cendre</t>
  </si>
  <si>
    <t>CT 60 ml. 77/45 Rubio Mediano Intenso Rojo Caoba</t>
  </si>
  <si>
    <t>CT 60 ml. 8/0 Rubio Claro</t>
  </si>
  <si>
    <t>CT 60 ml. 8/71 Rubio Claro Marrón Ceniza</t>
  </si>
  <si>
    <t>CT 60 ml. 8/81 Rubio Claro Perla Ceniza</t>
  </si>
  <si>
    <t>CT 60 ml. 9/0 Rubio Extra Claro</t>
  </si>
  <si>
    <t>CT 60 ml. 9/01 Rubio Extra Claro Natural Ceniza</t>
  </si>
  <si>
    <t>CT 60 ml. 9/03 Rubio Extra Claro Natural Dorado</t>
  </si>
  <si>
    <t>CT 60 ml. 10/73 Rubio Ultra Claro Marrón Dorado</t>
  </si>
  <si>
    <t>CT 60 ml. 0/34 Dorado Rojo</t>
  </si>
  <si>
    <t>CT 60 ml. 0/88 Perla Intenso</t>
  </si>
  <si>
    <t>COLOR TOUCH PLUS</t>
  </si>
  <si>
    <t>CT PLUS 60 ml. 55/03 Castaño Claro Intenso Natural Dorado</t>
  </si>
  <si>
    <t>CT PLUS 60 ml. 55/05 Castaño Claro Intenso Natural Caoba</t>
  </si>
  <si>
    <t>CT PLUS 60 ml. 55/07 Castaño Claro Intenso Natural Marrón</t>
  </si>
  <si>
    <t>CT PLUS 60 ml. 66/03 Rubio Oscuro Intenso Natural Dorado</t>
  </si>
  <si>
    <t>CT PLUS 60 ml. 66/07 Rubio Oscuro Intenso Natural Marrón</t>
  </si>
  <si>
    <t>CT PLUS 60 ml. 77/07 Rubio Mediano Intenso Natural Marrón</t>
  </si>
  <si>
    <t>CT PLUS 60 ml. 88/03 Rubio Claro Intenso Natural Dorado</t>
  </si>
  <si>
    <t>CT PLUS 60 ml. 88/07 Rubio Claro Intenso Natural Marrón</t>
  </si>
  <si>
    <t>IC 60 ml. 4/ Castaño Mediano</t>
  </si>
  <si>
    <t>IC 60 ml. 5/ Castaño Claro</t>
  </si>
  <si>
    <t>IC 60 ml. 5/35 Castaño Claro Dorado Caoba</t>
  </si>
  <si>
    <t>IC 60 ml. 5/43 Castaño Claro Rojo Dorado</t>
  </si>
  <si>
    <t>IC 60 ml. 5/7 Castaño Claro Marrón</t>
  </si>
  <si>
    <t>IC 60 ml. 5/81 Castaño Claro Perla Ceniza</t>
  </si>
  <si>
    <t>IC 60 ml. 6/ Rubio Oscuro</t>
  </si>
  <si>
    <t>IC 60 ml. 6/16 Rubio Oscuro Ceniza Violeta</t>
  </si>
  <si>
    <t>IC 60 ml. 7/ Rubio Mediano</t>
  </si>
  <si>
    <t>IC 60 ml. 7/31 Rubio Mediano Dorado Ceniza</t>
  </si>
  <si>
    <t>IC 60 ml. 7/81 Rubio Mediano Perla Ceniza</t>
  </si>
  <si>
    <t>IC 60 ml. 8/ Rubio Claro</t>
  </si>
  <si>
    <t>IC 60 ml. 9/ Rubio Extra Claro</t>
  </si>
  <si>
    <t>IC 60 ml. 10/ Rubio Ultra Claro</t>
  </si>
  <si>
    <t>IC 60 ml. 7/3 Rubio Mediano Dorado</t>
  </si>
  <si>
    <t>IC 60 ml. 7/35 Rubio Mediano Dorado Caoba</t>
  </si>
  <si>
    <t>IC 60 ml. 7/43 Rubio Mediano Rojo Dorado</t>
  </si>
  <si>
    <t>IC 60 ml. 7/7 Rubio Mediano Marrón</t>
  </si>
  <si>
    <t>IC 60 ml. 8/05 Rubio Claro Natural Caoba</t>
  </si>
  <si>
    <t>IC 60 ml. 8/1 Rubio Claro Ceniza</t>
  </si>
  <si>
    <t>IC 60 ml. 8/38 Rubio Claro Dorado Perla</t>
  </si>
  <si>
    <t>IC 60 ml. 8/69 Rubio Claro Violeta Cendre</t>
  </si>
  <si>
    <t>IC 60 ml. 9/03 Rubio Extra Claro Natural Dorado</t>
  </si>
  <si>
    <t>IC 60 ml. 9/43 Rubio Extra Claro Cobre</t>
  </si>
  <si>
    <t>IC 60 ml. 9/60 Rubio Extra Claro Violeta Natural</t>
  </si>
  <si>
    <t>IC 60 ml. 9/7 Rubio Extra Claro Marrón</t>
  </si>
  <si>
    <t>IC 60 ml. 10/1 Rubio Ultra Claro Ceniza</t>
  </si>
  <si>
    <t>IC 60 ml. 10/36 Rubio Ultra Claro Dorado Violeta</t>
  </si>
  <si>
    <t>IC 60 ml. 10/38 Rubio Ultra Claro Dorado Perla</t>
  </si>
  <si>
    <t>IC 60 ml. 10/69 Rubio Ultra Claro Violeta Cendre</t>
  </si>
  <si>
    <t>SF 60 ml Booster 00/89 Blue Booster</t>
  </si>
  <si>
    <t>SF 60 ml Booster 00/66 Violet Booster</t>
  </si>
  <si>
    <t>SF 60 ml Warm 05/37 Caramel Expresso</t>
  </si>
  <si>
    <t>SF 60 ml Warm 05/43 Hot Chili</t>
  </si>
  <si>
    <t>SF 60 ml Warm 06/43 Copper Sunset</t>
  </si>
  <si>
    <t>SF 60 ml Warm 06/73 Caramel Chocolate</t>
  </si>
  <si>
    <t>SF 60 ml Warm 07/34 Paprika Spice</t>
  </si>
  <si>
    <t>SF 60 ml Warm 08/34 Spicy Ginger</t>
  </si>
  <si>
    <t>SF 60 ml Warm 08/38 Honey Latte</t>
  </si>
  <si>
    <t>SF 60 ml Warm 09/36 Vanilla Glaze</t>
  </si>
  <si>
    <t>SF 60 ml Warm 09/73 Caramel Milk</t>
  </si>
  <si>
    <t>SF 60 ml Natural 04/07 Bitter Chocolate</t>
  </si>
  <si>
    <t>SF 60 ml Natural 06/02 Dark Sage</t>
  </si>
  <si>
    <t>SF 60 ml Natural 06/07 Deep Walnut</t>
  </si>
  <si>
    <t>SF 60 ml Natural 09/02 Soft Sage</t>
  </si>
  <si>
    <t>SF 60 ml Natural 09/05 Silk Blush</t>
  </si>
  <si>
    <t>SF 60 ml Natural 09/07 Beige Sand</t>
  </si>
  <si>
    <t>SF 60 ml Cool 04/65 Deep Cherry</t>
  </si>
  <si>
    <t>SF 60 ml Cool 05/98 Steel Orchid</t>
  </si>
  <si>
    <t>SF 60 ml Cool 06/71 Frosted Chestnut</t>
  </si>
  <si>
    <t>SF 60 ml Cool 06/6 Cherry Wine</t>
  </si>
  <si>
    <t>SF 60 ml Cool 07/13 Toffe Cream</t>
  </si>
  <si>
    <t>SF 60 ml Cool 07/59 Strawberry Wine</t>
  </si>
  <si>
    <t>SF 60 ml Cool 07/75 Raspberry Latte</t>
  </si>
  <si>
    <t>SF 60 ml Cool 07/81 Smoky Opal</t>
  </si>
  <si>
    <t>SF 60 ml Cool 08/8 Blue Pearl</t>
  </si>
  <si>
    <t>SF 60 ml Cool 08/98 Silver Pearl</t>
  </si>
  <si>
    <t>SF 60 ml Cool 09/13 Toffee Milk</t>
  </si>
  <si>
    <t>SF 60 ml Cool 09/61 Iced Platinum</t>
  </si>
  <si>
    <t>SF 60 ml Cool 09/65 Pink Shimmer</t>
  </si>
  <si>
    <t>SF 60 ml Cool 09/81 PlatinumOpal</t>
  </si>
  <si>
    <t>WELLOXON Perfect 12% 40 VOL 1000 ml.</t>
  </si>
  <si>
    <t>EMULSIÓN Color Touch 4% 1000 ml.</t>
  </si>
  <si>
    <t>SH Activador 2% Aplicador 1000 ml</t>
  </si>
  <si>
    <t>SH Activador 2% Brocha 1000 ml</t>
  </si>
  <si>
    <t>BLONDOR FREELIGHTS Revelador 6%  20 VOL. 1000 ml.</t>
  </si>
  <si>
    <t>BLONDOR FREELIGHTS Revelador 9%  30 VOL. 1000 ml.</t>
  </si>
  <si>
    <t>BLONDOR FREELIGHTS Revelador 12%  40 VOL. 1000 ml.</t>
  </si>
  <si>
    <t>BLONDOR - Decolorante</t>
  </si>
  <si>
    <t>BLONDOR Multi Bi Powder 400 gr.</t>
  </si>
  <si>
    <t>BLONDOR Multi Bi Powder 800 gr.</t>
  </si>
  <si>
    <t>BLONDOR PLEX 800 gr.</t>
  </si>
  <si>
    <t>BLONDOR FREELIGHTS Powder 800 gr.</t>
  </si>
  <si>
    <t>WELLAPLEX PASO No. 1 500ml new</t>
  </si>
  <si>
    <t>WELLAPLEX PASO No. 2 500ml new</t>
  </si>
  <si>
    <t>WELLASTRATE - Alisado</t>
  </si>
  <si>
    <t>WELLASTRATE Neutralizante 125 gr.</t>
  </si>
  <si>
    <t>WELLASTRATE Crema Intensa 125 gr.</t>
  </si>
  <si>
    <t>WELLASTRATE Crema Suave 125 gr.</t>
  </si>
  <si>
    <t>INVIGO COLOR BRILLIANCE - Cabello coloreado</t>
  </si>
  <si>
    <t>WI COLOR BRIILIANCE SH 250 ML</t>
  </si>
  <si>
    <t>WI COLOR BRIILIANCE CON 200 ML</t>
  </si>
  <si>
    <t>WI COLOR BRILLIANCE MASK 150 ML</t>
  </si>
  <si>
    <t>WI COLOR BRILLIANCE SH 1000 ML</t>
  </si>
  <si>
    <t>WI COLOR BRILLIANCE CON 1000 ML</t>
  </si>
  <si>
    <t>WI COLOR BRILLIANCE MASK 500 ML</t>
  </si>
  <si>
    <t>WI COLOR BRILLIANCE LEAVE BALM 150 ML</t>
  </si>
  <si>
    <t>INVIGO NUTRI-ENRICH - Cabello seco ó dañado</t>
  </si>
  <si>
    <t>WI NUTRI-ENRICH SH 250 ML</t>
  </si>
  <si>
    <t>WI NUTRI-ENRICH CON 200 ML</t>
  </si>
  <si>
    <t>WI NUTRI-ENRICH MASK 150 ML</t>
  </si>
  <si>
    <t>WI NUTRI-ENRICH SH 1000 ML</t>
  </si>
  <si>
    <t>WI NUTRI-ENRICH CON 1000 ML</t>
  </si>
  <si>
    <t>WI NUTRI-ENRICH MASK 500 ML</t>
  </si>
  <si>
    <t>WI NUTRI-ENRICH SELF WARMING 150 ML</t>
  </si>
  <si>
    <t>WI NUTRI-ENRICH WONDER BALM 150 ML</t>
  </si>
  <si>
    <t>INVIGO COOL BLOND - Cuidado para cabellos rubios</t>
  </si>
  <si>
    <t>WI BLONDE RECHARGE SHP 250 ML</t>
  </si>
  <si>
    <t>WI BLONDE RECHARGE CON 200 ML</t>
  </si>
  <si>
    <t>WI BLONDE RECHARGE SH 1000 ML</t>
  </si>
  <si>
    <t>INVIGO VOLUME BOOST - Brinda volumen a tu cabello</t>
  </si>
  <si>
    <t>WI VOLUME BOOST SH 250 ML</t>
  </si>
  <si>
    <t>WI VOLUME BOOST MASK CRISTAL 145 ml</t>
  </si>
  <si>
    <t>WI VOLUME BOOST SPRAY 150 ML</t>
  </si>
  <si>
    <t>INVIGO BALANCE - Cuero cabelludo</t>
  </si>
  <si>
    <t>WI PURE SHP 250 ML</t>
  </si>
  <si>
    <t>WI CLEAN SCALP SH 250 ML</t>
  </si>
  <si>
    <t>WI AQUA PURE SHP 1000 ML</t>
  </si>
  <si>
    <t>WI HAIR LOSS SERUM 8X6ML</t>
  </si>
  <si>
    <t>WELLA BOUTIQUE OIL REFLECTIONS - Máxima reflexión del color, ligereza y suavidad</t>
  </si>
  <si>
    <t>WP OIL REF 100 ml suavizante</t>
  </si>
  <si>
    <t>WC OIL Reflections Shampoo 250ml</t>
  </si>
  <si>
    <t>WC OIL Reflections Conditioner 200ml</t>
  </si>
  <si>
    <t>WC OIL Reflections Mask 150ml</t>
  </si>
  <si>
    <t>WC OIL Reflections Light 100ml</t>
  </si>
  <si>
    <t>WELLA BOUTIQUE FUSION - Nueva dimensión en recuperación capilar</t>
  </si>
  <si>
    <t>WP Fusion Shampoo 250 ml.</t>
  </si>
  <si>
    <t>WP Fusion Shampoo 1000 ml.</t>
  </si>
  <si>
    <t>WP Fusion Conditioner 200 ml.</t>
  </si>
  <si>
    <t>WP Fusion Conditioner 1000 ml.</t>
  </si>
  <si>
    <t>WP Fusion Mask 150 ml.</t>
  </si>
  <si>
    <t>WP Fusion Mask 500 ml.</t>
  </si>
  <si>
    <t>WP Fusion Amino Refiller 70 ml.</t>
  </si>
  <si>
    <t>WELLA BOUTIQUE NUTRICURLS - Nutre y cuida tus rizos</t>
  </si>
  <si>
    <t>WP Nutricurls Shampoo Curls 250ml</t>
  </si>
  <si>
    <t>WP Nutricurls Shampoo Curls 1000ml</t>
  </si>
  <si>
    <t>WP Nutricurls Conditioner 200ml</t>
  </si>
  <si>
    <t>WP Nutricurls Mask 150ml</t>
  </si>
  <si>
    <t>WP Nutricurls Mask 500ml</t>
  </si>
  <si>
    <t>WP Nutricurls Milk Waves 150ml</t>
  </si>
  <si>
    <t>WP Nutricurls Curlixir 150ml</t>
  </si>
  <si>
    <t>WELLA BOUTIQUE COLOR MOTION -Color + Resistencia por fin juntos!</t>
  </si>
  <si>
    <t>WP COLORMO SHP 250ml</t>
  </si>
  <si>
    <t>WP COLORMO SHP 1000ml</t>
  </si>
  <si>
    <t>WP COLORMO POST COLOR TRT 500ml</t>
  </si>
  <si>
    <t>WP COLORMO MASK 150ml</t>
  </si>
  <si>
    <t>WP COLORMO MASK 500ml</t>
  </si>
  <si>
    <t>WP COLORMO COND 200ml</t>
  </si>
  <si>
    <r>
      <t xml:space="preserve">WP COLORMO COND 1000ml </t>
    </r>
    <r>
      <rPr>
        <sz val="8"/>
        <color rgb="FFFF0000"/>
        <rFont val="Calibri"/>
        <family val="2"/>
        <scheme val="minor"/>
      </rPr>
      <t>NEW</t>
    </r>
  </si>
  <si>
    <t>WELLA BOUTIQUE ELEMENTS -  Cuidado capilar suave con ingredientes origen natural</t>
  </si>
  <si>
    <t>ELEMENTS SHAMPOO 250 ML</t>
  </si>
  <si>
    <t>ELEMENTS SHAMPOO 1000 ML</t>
  </si>
  <si>
    <t>ELEMENTS ACONDI 200 ML</t>
  </si>
  <si>
    <t>ELEMENTS ACONDI 1000 ML</t>
  </si>
  <si>
    <t>ELEMENTS MASK 150 ML</t>
  </si>
  <si>
    <t>ELEMENTS MASK 500 ML</t>
  </si>
  <si>
    <t>ELEMENTS LEAVING 150 ML</t>
  </si>
  <si>
    <t>EIMI STYLING - Spray de Acabado</t>
  </si>
  <si>
    <t>WP EIMI MISTIFY LIGHT 500ML</t>
  </si>
  <si>
    <t>WP EIMI MISTIFY STRONG 500ML</t>
  </si>
  <si>
    <t>WP EIMI SUPER SET 300 ml.</t>
  </si>
  <si>
    <t>EIMI STYLING - Brillo</t>
  </si>
  <si>
    <t>WP EIMI GLAM MIST 200 ml.</t>
  </si>
  <si>
    <t>EIMI STYLING - Suavidad</t>
  </si>
  <si>
    <t>WP EIMI FLOWING FORM 100 ml.</t>
  </si>
  <si>
    <t>WP EIMI THERMAL IMAGE 150 ml.</t>
  </si>
  <si>
    <t>EIMI STYLING - Textura</t>
  </si>
  <si>
    <t>WP EIMI BOLD MOVE 150 ml.</t>
  </si>
  <si>
    <t>WP EIMI PEARL STYLER 100 ml.</t>
  </si>
  <si>
    <t>WP EIMI SHAPE SHIFT 150 ml.</t>
  </si>
  <si>
    <t>EIMI STYLING - Volumen</t>
  </si>
  <si>
    <t>WP EIMI DRY ME 68 ml.</t>
  </si>
  <si>
    <t>WP EIMI NATURAL VOL 300 ml.</t>
  </si>
  <si>
    <t>WP EIMI SHAPE CONTROL 300 ml.</t>
  </si>
  <si>
    <t>WP EIMI SUGAR LIFT 150 ml.</t>
  </si>
  <si>
    <t>SP LUXE - Lujo para tu Cabello</t>
  </si>
  <si>
    <t>SP LUXE Oil 100 ml.</t>
  </si>
  <si>
    <t>SP LUXE Keratin Protect Shampoo 200 ml.</t>
  </si>
  <si>
    <t>SP LUXE Keratin Restore Mask 150 ml.</t>
  </si>
  <si>
    <t>SEB Penetraitt Shampoo 250 ml.</t>
  </si>
  <si>
    <t>SEB Hydre Shampoo 250 ml.</t>
  </si>
  <si>
    <t>SEB Penetraitt Shampoo 1000 ml.</t>
  </si>
  <si>
    <t>SEB Hydre Shampoo 1000 ml.</t>
  </si>
  <si>
    <t>SEB Penetraitt Conditioner 250 ml.</t>
  </si>
  <si>
    <t>SEB Hydre Conditioner 250 ml.</t>
  </si>
  <si>
    <t>SEB Penetraitt Conditioner 1000 ml.</t>
  </si>
  <si>
    <t>SEB Hydre Conditioner 1000 ml.</t>
  </si>
  <si>
    <t>SEB Hydre Treatment 150 ml.</t>
  </si>
  <si>
    <t>SEB Hydre Treatment Profesional 500 ml.</t>
  </si>
  <si>
    <t>SEB Thickefy Foam 200 ml.</t>
  </si>
  <si>
    <t>SEB Taming Elixir 140 ml.</t>
  </si>
  <si>
    <t>SEB Gel Forte 200 ml.</t>
  </si>
  <si>
    <t>SEB Re-shaper 400 ml.</t>
  </si>
  <si>
    <t>SEB FLEX - TWISTED La fuente de eslasticidad para rizos</t>
  </si>
  <si>
    <t>Curl Elastic Cleanser Shampoo 250ml</t>
  </si>
  <si>
    <t>Curl Elasting Detangles Conditioner 250ml</t>
  </si>
  <si>
    <t>Curl Elastic Treatment 150ml</t>
  </si>
  <si>
    <t>Curl Magnifier Styling Cream 150ml</t>
  </si>
  <si>
    <t>Curl Lifter Styling Foam 200ml</t>
  </si>
  <si>
    <t>Seb Dark Oil Conditioner 1000ml IV </t>
  </si>
  <si>
    <t>Seb Dark Oil Mask 500ml</t>
  </si>
  <si>
    <t>SEB No breaker 100 ml</t>
  </si>
  <si>
    <t>MATERIAL - Promocionales</t>
  </si>
  <si>
    <t>W2022WE0002</t>
  </si>
  <si>
    <t>WELLA COLOR PERFECT - Gama Mechones</t>
  </si>
  <si>
    <t>CÓDIGO PROMOCIONAL</t>
  </si>
  <si>
    <t>KOLESTON PERFECT</t>
  </si>
  <si>
    <t>KP 60 ML PN 7/0 Rubio mediano</t>
  </si>
  <si>
    <t>KP 60 ML PN 8/0 Rubio claro</t>
  </si>
  <si>
    <t>KP 60 ML PN 6/0 Rubio oscuro</t>
  </si>
  <si>
    <t>KP 60 ML PN 5/0 castaño claro</t>
  </si>
  <si>
    <t>KP 60 ML PN 9/0 rubio extra claro</t>
  </si>
  <si>
    <t>KP 60 ML PN 10/0 rubio ultra claro</t>
  </si>
  <si>
    <t>KP 60 ML PN 4/0 castaño mediano</t>
  </si>
  <si>
    <t>KP 60 ML PN 2/0 negro</t>
  </si>
  <si>
    <t>KP 60 ML PN 3/0 castaño oscuro</t>
  </si>
  <si>
    <t>KP 60 ML PN 77/0 rubio mediano intenso</t>
  </si>
  <si>
    <t>KP 60 ML PN 66/0 rubio oscuro intenso</t>
  </si>
  <si>
    <t>KP 60 ML PN 88/0 rubio claro intenso</t>
  </si>
  <si>
    <t>KP 60 ML PN 55/0 castaño claro intenso</t>
  </si>
  <si>
    <t>KP 60 ML PN 77/02 rubio mediano intenso natural mate</t>
  </si>
  <si>
    <t>KP 60 ML PN 55/02 castaño claro intenso natural mate</t>
  </si>
  <si>
    <t>KP 60 ML PN 9/04 rubio extra claro natural rojizo</t>
  </si>
  <si>
    <t>KP 60 ML PN 7/03 rubio mediano natural dorado</t>
  </si>
  <si>
    <t>KP 60 ML RN 8/1 rubio claro ceniza</t>
  </si>
  <si>
    <t>KP 60 ML RN 7/1 rubio mediano ceniza</t>
  </si>
  <si>
    <t>KP 60 ML RN 6/1 rubio oscuro ceniza</t>
  </si>
  <si>
    <t>KP 60 ML RN 9/1 rubio extra claro ceniza</t>
  </si>
  <si>
    <t>KP 60 ML RN 10/16 rubio ultra ceniza violeta</t>
  </si>
  <si>
    <t>KP 60 ML RN 9/8 rubio extra claro perla</t>
  </si>
  <si>
    <t>KP 60 ML RN 8/97 rubio claro cendré marrón</t>
  </si>
  <si>
    <t>KP 60 ML RN 6/91 rubio oscuro cendré ceniza</t>
  </si>
  <si>
    <t>KP 60 ML RN 7/18 rubio mediano ceniza perla</t>
  </si>
  <si>
    <t>KP 60 ML RN 6/3 rubio oscuro dorado</t>
  </si>
  <si>
    <t>KP 60 ML RN 5/82 castaño claro perla mate</t>
  </si>
  <si>
    <t>KP 60 ML RN 8/2 rubio claro mate</t>
  </si>
  <si>
    <t>KP 60 ML RN 7/31 rubio mediano dorado ceniza</t>
  </si>
  <si>
    <t>KP 60 ML RN 9/96 rubio extra claro cendré violeta</t>
  </si>
  <si>
    <t>KP 60 ML DB 7/71 rubio mediano marrón ceniza</t>
  </si>
  <si>
    <t>KP 60 ML DB 6/71 rubio oscuro marrón ceniza</t>
  </si>
  <si>
    <t>KP 60 ML DB 7/77 rubio mediano marrón intenso</t>
  </si>
  <si>
    <t>KP 60 ML DB 7/7 rubio mediano marrón</t>
  </si>
  <si>
    <t>KP 60 ML DB 8/71 rubio claro marrón ceniza</t>
  </si>
  <si>
    <t>KP 60 ML DB 7/73 rubio mediano marrón dorado</t>
  </si>
  <si>
    <t>KP 60 ML DB 6/7 rubio oscuro marrón</t>
  </si>
  <si>
    <t>KP 60 ML DB 6/77 rubio oscuro marrón intenso</t>
  </si>
  <si>
    <t>KP 60 ML DB 5/77 castaño claro marrón intenso</t>
  </si>
  <si>
    <t>KP 60 ML DB 7/75 rubio mediano marrón caoba</t>
  </si>
  <si>
    <t>KP 60 ML VR 8/34 rubio claro dorado rojo</t>
  </si>
  <si>
    <t>KP 60 ML VR 66/46 rubio oscuro intenso rojo violeta</t>
  </si>
  <si>
    <t>KP 60 ML VR 77/43 rubio mediano intenso rojo dorado</t>
  </si>
  <si>
    <t>KP 60 ML VR 55/66 castaño claro intenso violeta</t>
  </si>
  <si>
    <t>KP 60 ML VR 8/41 rubio claro rojo ceniza</t>
  </si>
  <si>
    <t>KP 60 ML VR 66/56 rubio oscuro intenso caoba violeta</t>
  </si>
  <si>
    <t>KP 60 ML SBLONDE 12/1 rubio especial cenizo</t>
  </si>
  <si>
    <t>KP 60 ML SBLONDE 12/0 rubio especial natural</t>
  </si>
  <si>
    <t>KP 60 ML SBLONDE 12/89 rubio perla cendré especial</t>
  </si>
  <si>
    <t>KP 60 ML SBLONDE 12/81 rubio especial perla ceniza</t>
  </si>
  <si>
    <t>KP 60 ML SBLONDE 12/22 rubio especial mate intenso</t>
  </si>
  <si>
    <t>KP 60 ML SMIX 0/65 violeta caoba</t>
  </si>
  <si>
    <t>KP 60 ML SMIX 0/43 rojo dorado</t>
  </si>
  <si>
    <t>KP 60 ML SMIX 0/28 mate perla</t>
  </si>
  <si>
    <t>KP 60 ML SMIX 0/30 dorado</t>
  </si>
  <si>
    <t>WELLOXON Perfect Me+ 6% 20 VOL 1000 ml.</t>
  </si>
  <si>
    <t>WELLOXON Perfect Me+ 9% 30 VOL 1000 ml.</t>
  </si>
  <si>
    <t>WELLOXON Perfect Me+ 12% 40 VOL 1000 ml.</t>
  </si>
  <si>
    <t>BUNDLE PACKS</t>
  </si>
  <si>
    <t>W2024WE0057</t>
  </si>
  <si>
    <t>Wella OA Nutri Enrich O-N-D 2024</t>
  </si>
  <si>
    <t>W2024WE0058</t>
  </si>
  <si>
    <t>Wella OA Fusion O-N-D 2024</t>
  </si>
  <si>
    <t>W2024SE0029</t>
  </si>
  <si>
    <t>Seb OA OND Dark oil 2024</t>
  </si>
  <si>
    <t>W2023WED0000</t>
  </si>
  <si>
    <t>W2023WED0001</t>
  </si>
  <si>
    <t>WELLOXON Perfect Me+ 1.9% VOL 1000 ml.</t>
  </si>
  <si>
    <t>WELLOXON Perfect Me+ 3% VOL 1000 ml.</t>
  </si>
  <si>
    <t>SEB NOBREAKER OTC CREAM 145ML ESPTGRPL</t>
  </si>
  <si>
    <t>SEB NOBREAKER OTC MASK 150ML ESPTSCAN</t>
  </si>
  <si>
    <t>SEB NOBREAKER ATB MASK 500ML ESPTSCANGR</t>
  </si>
  <si>
    <t>SEB NOBREAKER OTC SHAMPOO 250ML MULTI</t>
  </si>
  <si>
    <t>SEB NOBREAKER ATB SHAMPOO 1L MULTI</t>
  </si>
  <si>
    <t>SF 60 ml Natural 04/0 Natural espresso NEW</t>
  </si>
  <si>
    <t>SF 60 ml Natural 06/0 Natural Brady New</t>
  </si>
  <si>
    <t>SF 60 ml Natural 08/0 Natural Latte New</t>
  </si>
  <si>
    <t>SF 60 ml Natural 010/0 Natural Flash New</t>
  </si>
  <si>
    <t>SF 60 ml Cool 07/12 Cool Mushroom New</t>
  </si>
  <si>
    <t>SF 60 ml Cool 04/12 Cool Chia New</t>
  </si>
  <si>
    <t>SF 60 ml Cool 010/6 Lavender Flash New</t>
  </si>
  <si>
    <t>W2023WED0002</t>
  </si>
  <si>
    <t>W2023WED0003</t>
  </si>
  <si>
    <t>Welloxon 20V 6 3700ML</t>
  </si>
  <si>
    <t>ULTIMATE REPAIR</t>
  </si>
  <si>
    <t>Ultimate Repair</t>
  </si>
  <si>
    <t>WP Ult Repair Shampoo 1L</t>
  </si>
  <si>
    <t>WP Ult Repair Shampoo 250 ml</t>
  </si>
  <si>
    <t>WP Ult Repair Acondicionador 500 ml</t>
  </si>
  <si>
    <t>WP Ult Repair Acondicionador 200 ml</t>
  </si>
  <si>
    <t>WP Ult Repair Leave in Paso 4</t>
  </si>
  <si>
    <t>WP Ult Repair Miracle Serum 95 ml</t>
  </si>
  <si>
    <t>WP Ult Repair Miracle Serum 30 ml</t>
  </si>
  <si>
    <t>WP Ult Repair Mask 500 ml</t>
  </si>
  <si>
    <t>WP Ult Repair Mask 150 ml</t>
  </si>
  <si>
    <t>WP Ult Repair Miracle Serum 185 ml</t>
  </si>
  <si>
    <t>WP Ult Repair Overnight 95 ml</t>
  </si>
  <si>
    <t>DISPONIBLE</t>
  </si>
  <si>
    <t>W2024WE0049</t>
  </si>
  <si>
    <t>Wella Koleston Perfect gama me</t>
  </si>
  <si>
    <t>W2023WE0019</t>
  </si>
  <si>
    <t>Wella Shine Finity Gama mechas</t>
  </si>
  <si>
    <t>W2025WE0012</t>
  </si>
  <si>
    <t>Wella inserto mechones SF nuev</t>
  </si>
  <si>
    <t>Care &amp; Styling</t>
  </si>
  <si>
    <t>KP 60 ML PN 44/0 Castaña Medio Intenso</t>
  </si>
  <si>
    <t>KP 60 ML PN 8/01 Rubio Claro Ceniza Natural</t>
  </si>
  <si>
    <t>KP 60 ML PN 6/07 Rubio Oscuro Marrón</t>
  </si>
  <si>
    <t>KP 60 ML RN 8/3 Rubio Claro Dorado</t>
  </si>
  <si>
    <t>KP 60 ML RN 10/31 Rubio Ultra Claro Ceniza Dorado</t>
  </si>
  <si>
    <t>KP 60 ML RN 5/18 Castaño Claro Ceniza Perla</t>
  </si>
  <si>
    <t>KP 60 ML RN 6/97 Rubio Oscuro Cendré Marrón</t>
  </si>
  <si>
    <t>KP 60 ML RN 6/2 Rubio Oscuro Mate</t>
  </si>
  <si>
    <t>KP 60 ML RN 7/17 Rubio Medio Castaño Ceniza</t>
  </si>
  <si>
    <t>KP 60 ML RN 10/95 Rubio Ultra Claro Cendré Caoba</t>
  </si>
  <si>
    <t>KP 60 ML RN 10/86 Rubio Ultra Claro Perla Violeta</t>
  </si>
  <si>
    <t>KP 60 ML DB 5/71 Castaño Claro Marrón Ceniza</t>
  </si>
  <si>
    <t>KP 60 ML DB 5/75 Castaño Claro Rojizo Violeta</t>
  </si>
  <si>
    <t>KP 60 ML DB 8/7 Rubio Claro Natural Marrón</t>
  </si>
  <si>
    <t>KP 60 ML DB 6/73 Rubio Oscuro Marrón Dorado</t>
  </si>
  <si>
    <t>KP 60 ML DB 5/7 Castaño Claro Marrón</t>
  </si>
  <si>
    <t>KP 60 ML DB 4/77 Castaño Medio Marrón Intenso</t>
  </si>
  <si>
    <t>KP 60 ML VR 88/43 Rubio Claro Intenso Rojo Dorado</t>
  </si>
  <si>
    <t>KP 60 ML VR 77/44 Rubio Medio Rojo Intenso</t>
  </si>
  <si>
    <t>KP 60 ML VR 6/34 Rubio Oscuro Dorado Rojo</t>
  </si>
  <si>
    <t>KP 60 ML VR 6/43 Rubio Oscuro Rojo Dorado</t>
  </si>
  <si>
    <t>KP 60 ML VR 66/44 Rubio Rojo Intenso</t>
  </si>
  <si>
    <t>KP 60 ML VR 77/46 Rubio Medio Intenso Rojo</t>
  </si>
  <si>
    <t>KP 60 ML VR 6/45 Rubio Oscuro Rojo Caoba</t>
  </si>
  <si>
    <t>KP 60 ML VR 5/41 Castaño Claro Rojo Ceniza</t>
  </si>
  <si>
    <t>KP 60 ML VR 44/65 Castaño Medio Violeta Caoba</t>
  </si>
  <si>
    <t>KP 60 ML SP 00/00 Clear</t>
  </si>
  <si>
    <t>KP 60 ML SP 0/33 Dorado Intenso</t>
  </si>
  <si>
    <t>KP 60 ML SP 0/44 Rojo Intenso</t>
  </si>
  <si>
    <t>KP 60 ML SP 0/88 Violeta Intenso</t>
  </si>
  <si>
    <t>KP 60 ML SP 0/66 Perla Intenso</t>
  </si>
  <si>
    <t>W2023WED0004</t>
  </si>
  <si>
    <t>W2023WED0005</t>
  </si>
  <si>
    <t>CT 60 ml. 10/05 Rubio Ultra Claro Natural  Caoba</t>
  </si>
  <si>
    <t>CT 60 ml. 8/05 Rubio Claro Natural Caoba</t>
  </si>
  <si>
    <t>CT 60ml. 6/05 Rubio Oscuro Natural Caoba</t>
  </si>
  <si>
    <t>CT 60 ml. 0/45 Rojo Caoba</t>
  </si>
  <si>
    <t>CT 60 ml. 9/16 Rubio Extra Claro Ceniza Violeta</t>
  </si>
  <si>
    <t>CT 60 ml. 10/6 Rubio Ultra Claro Violeta</t>
  </si>
  <si>
    <t>CT 60 ml. 55/65 Castaño Claro Intenso Violeta Caoba</t>
  </si>
  <si>
    <t>CT 60 ml. 8/43 Rubio Claro Rojo Dorado</t>
  </si>
  <si>
    <t>CT 60 ml. 8/73 Rubio Claro Marrón Dorado</t>
  </si>
  <si>
    <t>EMULSIÓN Color Touch 1.9% 3700 ml.</t>
  </si>
  <si>
    <t>EMULSIÓN Color Touch 4% 3700 ml.</t>
  </si>
  <si>
    <t>EMULSIÓN COLOR TOUCH</t>
  </si>
  <si>
    <t>BLONDOR FREELIGHTS Revelador</t>
  </si>
  <si>
    <r>
      <t xml:space="preserve">Welloxon Perfect 9% 30 vol 1 L nueva tapa </t>
    </r>
    <r>
      <rPr>
        <b/>
        <sz val="8"/>
        <color theme="1"/>
        <rFont val="Calibri"/>
        <family val="2"/>
      </rPr>
      <t>CDMX</t>
    </r>
  </si>
  <si>
    <t>SHINEFINITY</t>
  </si>
  <si>
    <t>W2025WE0028</t>
  </si>
  <si>
    <t>Wella gama mechones CT nueva imagen</t>
  </si>
  <si>
    <t>W2025WE0013</t>
  </si>
  <si>
    <t>Wella Gama IC nueva imagen</t>
  </si>
  <si>
    <t>FALTANTE</t>
  </si>
  <si>
    <t>SEB CARE - LÍNEA PENETRAITT</t>
  </si>
  <si>
    <t>SEB CARE - LÍNEA NO BREAKER SYSTEM</t>
  </si>
  <si>
    <t>SEB CARE - LÍNEA DARL OIL</t>
  </si>
  <si>
    <t>SEB Dark oil aceite</t>
  </si>
  <si>
    <t>SEB CARE - LÍNEA HYDRE</t>
  </si>
  <si>
    <t>SEB STYLING</t>
  </si>
  <si>
    <t>SEB Shaper Zero Gravity 300 ml.</t>
  </si>
  <si>
    <t>WELLOXON PERFECT  ME+</t>
  </si>
  <si>
    <r>
      <t xml:space="preserve">IC 60 ml. 5/02 castaño claro ceniza </t>
    </r>
    <r>
      <rPr>
        <sz val="8"/>
        <color rgb="FFFF0000"/>
        <rFont val="Calibri"/>
        <family val="2"/>
      </rPr>
      <t>NEW</t>
    </r>
  </si>
  <si>
    <t>IC 60 ml. 6/19 Rubio Oscuro Ceniza Violeta</t>
  </si>
  <si>
    <t xml:space="preserve">IC 60 ml. 6/76 Rubio Oscuro Marron Violeta </t>
  </si>
  <si>
    <r>
      <t xml:space="preserve">IC 60 ml. 7/42 Rubio medio rojo mate </t>
    </r>
    <r>
      <rPr>
        <sz val="8"/>
        <color rgb="FFFF0000"/>
        <rFont val="Calibri"/>
        <family val="2"/>
      </rPr>
      <t>NEW</t>
    </r>
  </si>
  <si>
    <t>IC 60 ml. 7/53 rubio medio caoba dorado</t>
  </si>
  <si>
    <r>
      <t xml:space="preserve">IC 60 ml. 7/75 Rubio medio marrón caoba </t>
    </r>
    <r>
      <rPr>
        <sz val="8"/>
        <color rgb="FFFF0000"/>
        <rFont val="Calibri"/>
        <family val="2"/>
      </rPr>
      <t>NEW</t>
    </r>
  </si>
  <si>
    <r>
      <t xml:space="preserve">IC 60 ml. 8/13 Rubio claro ceniza dorado </t>
    </r>
    <r>
      <rPr>
        <sz val="8"/>
        <color rgb="FFFF0000"/>
        <rFont val="Calibri"/>
        <family val="2"/>
      </rPr>
      <t>NEW</t>
    </r>
  </si>
  <si>
    <r>
      <t xml:space="preserve">IC 60 ml. 8/36 Rubio claro dorado violeta </t>
    </r>
    <r>
      <rPr>
        <sz val="8"/>
        <color rgb="FFFF0000"/>
        <rFont val="Calibri"/>
        <family val="2"/>
      </rPr>
      <t>NEW</t>
    </r>
  </si>
  <si>
    <r>
      <t xml:space="preserve">IC 60 ml. 9/19 Rubio extra claro ceniza cendre </t>
    </r>
    <r>
      <rPr>
        <sz val="8"/>
        <color rgb="FFFF0000"/>
        <rFont val="Calibri"/>
        <family val="2"/>
      </rPr>
      <t>NEW</t>
    </r>
  </si>
  <si>
    <r>
      <t xml:space="preserve">IC 60 ml. 9/37 Rubio extra claro dorado marrón </t>
    </r>
    <r>
      <rPr>
        <sz val="8"/>
        <color rgb="FFFF0000"/>
        <rFont val="Calibri"/>
        <family val="2"/>
      </rPr>
      <t>NEW</t>
    </r>
  </si>
  <si>
    <r>
      <t xml:space="preserve">IC 60 ml. 9/59 Rubio extra claro caoba cendre </t>
    </r>
    <r>
      <rPr>
        <sz val="8"/>
        <color rgb="FFFF0000"/>
        <rFont val="Calibri"/>
        <family val="2"/>
      </rPr>
      <t>NEW</t>
    </r>
  </si>
  <si>
    <t>IC 60 ml. 10/34 Rubio ultra claro dorado rojo</t>
  </si>
  <si>
    <r>
      <t xml:space="preserve">IC 60 ml. 10/53 Rubio ultra claro caoba dorado </t>
    </r>
    <r>
      <rPr>
        <sz val="8"/>
        <color rgb="FFFF0000"/>
        <rFont val="Calibri"/>
        <family val="2"/>
      </rPr>
      <t>NEW</t>
    </r>
  </si>
  <si>
    <r>
      <t xml:space="preserve">IC 60 ml. 10/81 Rubio ultra claro perla ceniza </t>
    </r>
    <r>
      <rPr>
        <sz val="8"/>
        <color rgb="FFFF0000"/>
        <rFont val="Calibri"/>
        <family val="2"/>
      </rPr>
      <t>NEW</t>
    </r>
  </si>
  <si>
    <t>IC 60 ml. 10/93 Rubio Ultra Claro Cendre Dorado</t>
  </si>
  <si>
    <t>CP 60ml. RICH NT 7/18 Rubio Mediano Ceniza Perla</t>
  </si>
  <si>
    <t>CP 60 ML VR 7/34 RUBIO MEDIO DORADO ROJO</t>
  </si>
  <si>
    <t>CP 60 ML RN 9/17 RUBIO EXTRA CLARO CENIZA MARRON</t>
  </si>
  <si>
    <t>CP 60ml. RICH NT 9/81 Rubio Extra Claro Perla Ceniza</t>
  </si>
  <si>
    <t>CP 60 ML RN 6/97 RUBIO OSCURO CENDRE MARRON</t>
  </si>
  <si>
    <t>CP 60ml. RICH NT 10/86 Rubio Ultra Claro Perla Violeta</t>
  </si>
  <si>
    <t>CP 60ml. RICH NT 10/95 Rubio Ultra Claro Cendré Caoba</t>
  </si>
  <si>
    <t>CP 60 ML SP 12/22 SP BLOND RUBIO MATE INTENSO</t>
  </si>
  <si>
    <t>CT 60 ml. RICH NAT 5/97 Castaño Claro Cendré Marrón</t>
  </si>
  <si>
    <t>CT 60 ml. RICH NAT 7/86 Rubio Mediano Perla Violeta</t>
  </si>
  <si>
    <t>CT 60 ml. RICH NAT 7/97 Rubio Mediano Cendré Marrón</t>
  </si>
  <si>
    <t>CT 60 ml. RICH NATUR 8/35 Rubio Claro Dorado Caoba</t>
  </si>
  <si>
    <t>CT 60 ml. VIBR RED 8/41 Rubio Claro Rojo Ceniza</t>
  </si>
  <si>
    <t>CT 60 ml. DEEP BROWNS 9/75 Rubio Extra Claro Marrón Caoba</t>
  </si>
  <si>
    <t>CT 60 ml. RICH NAT 9/86 Rubio Extraclaro Perla violeta</t>
  </si>
  <si>
    <t>CT 60 ml. RICH NAT 9/96 Rubio Extraclaro cendré violeta</t>
  </si>
  <si>
    <t>CT 60 ml. RICH NAT 9/97 Rubio Extra Claro Cendré Marrón</t>
  </si>
  <si>
    <t>CT 60 ml VIBR RED 10/34 Rubio Ultra Claro Rojo Dorado</t>
  </si>
  <si>
    <t>SEBASTIAN</t>
  </si>
  <si>
    <t>CT 60 ml. 10/0 Rubio Ultra Claro</t>
  </si>
  <si>
    <t>SEB MAN - The Undefinable</t>
  </si>
  <si>
    <t>SEB MAN THE GROOM OIL 30ML</t>
  </si>
  <si>
    <t>SEB MAN THE DANDY POMADA 75ML</t>
  </si>
  <si>
    <t>Welloxon Perfect 9% 30 vol 1 L nueva tapa CDMX</t>
  </si>
  <si>
    <t>BLONDOR Multi B Powder 800 gr.</t>
  </si>
  <si>
    <t>W2023WED0006</t>
  </si>
  <si>
    <t>W2023WED0007</t>
  </si>
  <si>
    <t>W2023WED0008</t>
  </si>
  <si>
    <t>W2023WED0009</t>
  </si>
  <si>
    <t>Compra 1 pieza de crema intensa BENEFICIO 20% adicional</t>
  </si>
  <si>
    <t>Compra 2 piezas en adelante de Wellaplex paso 1 y 2 BENEFICIO 20% adicional</t>
  </si>
  <si>
    <t>WELLAPLEX PASO No. 1 500ml NEW</t>
  </si>
  <si>
    <t>WELLAPLEX PASO No. 2 500ml NEW</t>
  </si>
  <si>
    <t>W2023WED0010</t>
  </si>
  <si>
    <t>W2023WED0011</t>
  </si>
  <si>
    <t>W2023WED0013</t>
  </si>
  <si>
    <t>W2023WED0014</t>
  </si>
  <si>
    <t>RECIBE SIN CARGO:</t>
  </si>
  <si>
    <t>Número de promociones</t>
  </si>
  <si>
    <t>WP Ult Color Shamp 1000ml</t>
  </si>
  <si>
    <t>WP Ult Color Shamp 250ml</t>
  </si>
  <si>
    <t>WP Ult Color Cond 1000ml</t>
  </si>
  <si>
    <t>WP Ult Color Cond 200ml</t>
  </si>
  <si>
    <t>WP Ult Color mask 95ml</t>
  </si>
  <si>
    <t>WP Ult Color mask 30ml</t>
  </si>
  <si>
    <t>WP Ult Color shine spray 95ml</t>
  </si>
  <si>
    <t>WP Ult Color sealer 185ml</t>
  </si>
  <si>
    <t xml:space="preserve">WP Ult Color Shamp 50ml </t>
  </si>
  <si>
    <t xml:space="preserve">WP Ult Color Cond 30ml </t>
  </si>
  <si>
    <t>Compra $9,000 de Invigo / Boutique / SP / EIMI REGALO 9 shampoos open stock 250 ml boutique</t>
  </si>
  <si>
    <t>Compra 2 shampoos 1L, 44 shampoos 250ml, 2 condi 1L, 22 condi 200 ml, 26 mask 95 ml, 26 mask de 30ml, +2 Color Sealer REGALO 3 pieza de shampoo 1L,16 shampoo 50 ml, 3 condi de 1L, 16 condi 30ml, 4 mask 95ml, 8 mask 30ml</t>
  </si>
  <si>
    <t>Ultimate Color</t>
  </si>
  <si>
    <t>WP Ult Color Shamp 50ml</t>
  </si>
  <si>
    <t>Penetraitt shampoo 50 ml</t>
  </si>
  <si>
    <t>PEnetraitt acondi  50 ml</t>
  </si>
  <si>
    <t>Shampoo Dark Oil 50 ml</t>
  </si>
  <si>
    <t>Dark Oil acondi 50 ml</t>
  </si>
  <si>
    <t>Dark Oil aceite 30 ml</t>
  </si>
  <si>
    <t>WP Ult Repair Acondi 30 ml</t>
  </si>
  <si>
    <t>WP Ult Repair Mask 30 ml</t>
  </si>
  <si>
    <t>WP Ult Repair Shampoo 50 ml</t>
  </si>
  <si>
    <t>WP Oil Reflections aceite 30 ml</t>
  </si>
  <si>
    <t>RIESGO</t>
  </si>
  <si>
    <t>W2023WED0015</t>
  </si>
  <si>
    <t>W2023WED0016</t>
  </si>
  <si>
    <r>
      <t xml:space="preserve">SEB Potion 9 Profesional 500 ml. </t>
    </r>
    <r>
      <rPr>
        <b/>
        <sz val="8"/>
        <color theme="1"/>
        <rFont val="Calibri"/>
        <family val="2"/>
      </rPr>
      <t>R</t>
    </r>
  </si>
  <si>
    <r>
      <t xml:space="preserve">SEB Trilliant 150 ml. </t>
    </r>
    <r>
      <rPr>
        <b/>
        <sz val="8"/>
        <color theme="1"/>
        <rFont val="Calibri"/>
        <family val="2"/>
      </rPr>
      <t>R</t>
    </r>
  </si>
  <si>
    <r>
      <t xml:space="preserve">SEB Texturizer Flexible Bodifying-Liquigel 150 ml. </t>
    </r>
    <r>
      <rPr>
        <b/>
        <sz val="8"/>
        <color theme="1"/>
        <rFont val="Calibri"/>
        <family val="2"/>
      </rPr>
      <t>R</t>
    </r>
  </si>
  <si>
    <r>
      <t xml:space="preserve">Seb Care Dark Oil Mask 145ml </t>
    </r>
    <r>
      <rPr>
        <b/>
        <sz val="8"/>
        <color theme="1"/>
        <rFont val="Calibri"/>
        <family val="2"/>
      </rPr>
      <t>R</t>
    </r>
  </si>
  <si>
    <r>
      <t xml:space="preserve">Seb Care Dark Oil Cond 200ml   </t>
    </r>
    <r>
      <rPr>
        <b/>
        <sz val="8"/>
        <color theme="1"/>
        <rFont val="Calibri"/>
        <family val="2"/>
      </rPr>
      <t>R</t>
    </r>
  </si>
  <si>
    <r>
      <t xml:space="preserve">Seb Dark Oil Shampoo 1000ml  </t>
    </r>
    <r>
      <rPr>
        <b/>
        <sz val="8"/>
        <color theme="1"/>
        <rFont val="Calibri"/>
        <family val="2"/>
      </rPr>
      <t>R</t>
    </r>
  </si>
  <si>
    <r>
      <t xml:space="preserve">Seb Care Dark Oil Sh 280ml  </t>
    </r>
    <r>
      <rPr>
        <b/>
        <sz val="8"/>
        <color theme="1"/>
        <rFont val="Calibri"/>
        <family val="2"/>
      </rPr>
      <t>R</t>
    </r>
  </si>
  <si>
    <t>TODOS LOS TUBOS DE COLOR :</t>
  </si>
  <si>
    <t>Compra Blondor Multi Blonde 800 grs de 48 a 240 piezas BENEFICIO PRECIO ESPECIAL $565 + IVA (sin descuentos adicionales)</t>
  </si>
  <si>
    <t>Compra Blondor Multi 800 grs de 246 a 360 piezas BENEFICIO Precio especial $545 + IVA (sin descuentos adicionales)</t>
  </si>
  <si>
    <t>Compra Blondor Multi 800 grs de 366 piezas en adelante BENEFICIO Precio especial $525 + IVA (sin descuentos adicionales)</t>
  </si>
  <si>
    <t>Compra Blondorplex 800 grs 32 a 160 piezas en adelante REGALO Precio especial $805 + IVA (sin descuentos adicionales)</t>
  </si>
  <si>
    <t>Compra Blondorplex 800 grs 161 piezas en adelante REGALO Precio especial $755 + IVA (sin descuentos adicionales)</t>
  </si>
  <si>
    <t>EMULSIÓN Color Touch 1.9% 1000 ml.</t>
  </si>
  <si>
    <t>A ELEGIR :</t>
  </si>
  <si>
    <t>WP Ult Repair Shampoo 15 ml sachet</t>
  </si>
  <si>
    <t>WP Ult Repair Acondicionador 15 ml sachet</t>
  </si>
  <si>
    <t>W2023WED0012</t>
  </si>
  <si>
    <t>WP Ult Repair Mask 15 ml sachet</t>
  </si>
  <si>
    <t>Todos los shampoos de BOUTIQUE DE 1 L</t>
  </si>
  <si>
    <t>W2026WE0001</t>
  </si>
  <si>
    <t>Wella pump Galón 3.7 L</t>
  </si>
  <si>
    <t>SF 60 ml Booster 500ML Crystal Glaze NEW</t>
  </si>
  <si>
    <t>Seb Care Potion 9 150 ml lite</t>
  </si>
  <si>
    <r>
      <t>SEB Potion 9 150 ml.</t>
    </r>
    <r>
      <rPr>
        <b/>
        <sz val="8"/>
        <color theme="1"/>
        <rFont val="Calibri"/>
        <family val="2"/>
      </rPr>
      <t xml:space="preserve"> R</t>
    </r>
  </si>
  <si>
    <t xml:space="preserve">EMULSIÓN ColorTouch 1.9% Restage 1000 ml. </t>
  </si>
  <si>
    <t>W2026WE0015</t>
  </si>
  <si>
    <t>Wella UC glorificador OK</t>
  </si>
  <si>
    <t>Compra $18,000 open stock en color (tubos) REGALO 15 tubos de color a elegir, 15 toallas negras</t>
  </si>
  <si>
    <t>Wella toalla microfibra negra</t>
  </si>
  <si>
    <t>Compra $30,000 open stock en color (tubos) REGALO 25 tubos a elegir, 25 toallas negras</t>
  </si>
  <si>
    <t>7 + 1 Compra 21 en adelante open stock en reveladores (Welloxon, Emulsión, Activador SF, revelador Freelights) por cada 7 piezas REGALO open stock Welloxon / Emulsión  /Activador</t>
  </si>
  <si>
    <t>Compra 7 galones en adelante open stock Welloxon / Emulsión REGALO por cada 7 piezas  7 pump</t>
  </si>
  <si>
    <t>Compra $20,000 en Ultimate repair REGALO 3 acondicionador 500 ml, 15 sachet de shampoo, 15 sachets a elegir acondi y mask</t>
  </si>
  <si>
    <t>WP Ult Color mask 5 ml</t>
  </si>
  <si>
    <t>Compra $28,000 en Ultimate repair REGALO 4 shampoo 1L, 16 travel size a elegir (shampoo, acondi, mask)</t>
  </si>
  <si>
    <t>Compra $16,000 open stock Ultimate Repair y Color REGALO 2 leave in mask 95 ml, 1 miracle hair rescue de 95 ml</t>
  </si>
  <si>
    <t>Compra $9,000 de Invigo / Boutique / SP / EIMI REGALO 3 shampoos de 1L Invigo a elegir, 6 Wella cuellera negra lavacabeza</t>
  </si>
  <si>
    <t>W2024WE0009</t>
  </si>
  <si>
    <t>Wella cuellera negra lavacabeza</t>
  </si>
  <si>
    <t>Compra $15,000 mil pesos en adelante de Invigo / Boutique / SP / EIMI REGALO 3 mask 500 ml boutique a elegir, 9 Wella cuellera negra lavacabeza</t>
  </si>
  <si>
    <t xml:space="preserve">Compra $8,000 en Sebastian REGALO 2 shampoos 1L No Breaker </t>
  </si>
  <si>
    <t>SEB System No Breaker shampoo 1000 ml</t>
  </si>
  <si>
    <t>Compra $15,000 mil en adelante en Sebastian REGALO 3 mask 500 ml No Breaker, 15 sachet leave in No |eaker</t>
  </si>
  <si>
    <t>SEB System No Breaker mask 500 ml</t>
  </si>
  <si>
    <t>SEB System No Breaker Leave in</t>
  </si>
  <si>
    <t>W2023WED0017</t>
  </si>
  <si>
    <t>W2023WED0018</t>
  </si>
  <si>
    <t>W2023WED0019</t>
  </si>
  <si>
    <t>Compra $19,000 open stock Invigo, Boutique, Eimi, SP, Sebastian REGALO 1 secadora baby Liss</t>
  </si>
  <si>
    <t>W2026WE0019</t>
  </si>
  <si>
    <t>Wella secadora babyliss Red</t>
  </si>
  <si>
    <t>BEAUTY ART - WELLA Formato de Pedido DISTRIBUIDOR SEPTIEMBRE 2026</t>
  </si>
  <si>
    <t>W2023WED0020</t>
  </si>
  <si>
    <t>W2023WED0021</t>
  </si>
  <si>
    <t>Compra BLONDOR FREELIGHTS Powder 800 gr. 10 a 19 piezas en adelante REGALO Precio especial $750 + IVA (sin descuentos adicionales)</t>
  </si>
  <si>
    <t>Compra BLONDOR FREELIGHTS Powder 800 gr. 20 piezas en adelante REGALO Precio especial $700 + IVA (sin descuentos adicionales)</t>
  </si>
  <si>
    <t>Todos los shampoos de INVIGO DE 1 L</t>
  </si>
  <si>
    <r>
      <t>SEB Craft Clay 50 gr</t>
    </r>
    <r>
      <rPr>
        <b/>
        <sz val="8"/>
        <color theme="1"/>
        <rFont val="Calibri"/>
        <family val="2"/>
      </rPr>
      <t>. R</t>
    </r>
  </si>
  <si>
    <r>
      <t xml:space="preserve">SEB Shaper Fierce 400 ml. </t>
    </r>
    <r>
      <rPr>
        <b/>
        <sz val="8"/>
        <color theme="1"/>
        <rFont val="Calibri"/>
        <family val="2"/>
      </rPr>
      <t>R</t>
    </r>
  </si>
  <si>
    <r>
      <t xml:space="preserve">SEB Shine Define 200 ml. </t>
    </r>
    <r>
      <rPr>
        <b/>
        <sz val="8"/>
        <color theme="1"/>
        <rFont val="Calibri"/>
        <family val="2"/>
      </rPr>
      <t>R</t>
    </r>
  </si>
  <si>
    <r>
      <t xml:space="preserve">SEB Serum Penetraitt Reparador 95ml </t>
    </r>
    <r>
      <rPr>
        <sz val="8"/>
        <color rgb="FFFF0000"/>
        <rFont val="Calibri"/>
        <family val="2"/>
      </rPr>
      <t>NEW</t>
    </r>
    <r>
      <rPr>
        <sz val="8"/>
        <color theme="1"/>
        <rFont val="Calibri"/>
        <family val="2"/>
      </rPr>
      <t xml:space="preserve"> </t>
    </r>
    <r>
      <rPr>
        <b/>
        <sz val="8"/>
        <color theme="1"/>
        <rFont val="Calibri"/>
        <family val="2"/>
      </rPr>
      <t>R</t>
    </r>
  </si>
  <si>
    <r>
      <t xml:space="preserve">Seb Care Penetraitt mask 145ml </t>
    </r>
    <r>
      <rPr>
        <b/>
        <sz val="8"/>
        <color theme="1"/>
        <rFont val="Calibri"/>
        <family val="2"/>
      </rPr>
      <t>R</t>
    </r>
  </si>
  <si>
    <r>
      <t xml:space="preserve">Seb Care Penetraitt mask 500ml </t>
    </r>
    <r>
      <rPr>
        <b/>
        <sz val="8"/>
        <color theme="1"/>
        <rFont val="Calibri"/>
        <family val="2"/>
      </rPr>
      <t>R</t>
    </r>
  </si>
  <si>
    <t>W2026WE0016</t>
  </si>
  <si>
    <t>Wella KP gama mechones 2026</t>
  </si>
  <si>
    <t>W2026WE0020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</si>
</sst>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;\-0;;@"/>
    <numFmt numFmtId="166" formatCode="_-* #,##0.00\ _€_-;\-* #,##0.00\ _€_-;_-* &quot;-&quot;??\ _€_-;_-@_-"/>
    <numFmt numFmtId="167" formatCode="0;\-0;"/>
    <numFmt numFmtId="168" formatCode="0_ ;\-0\ "/>
    <numFmt numFmtId="169" formatCode="#,##0_ ;\-#,##0\ "/>
    <numFmt numFmtId="170" formatCode="_-&quot;$&quot;* #,##0.00_-;\-&quot;$&quot;* #,##0.00_-;_-&quot;$&quot;* &quot;-&quot;??_-;_-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color theme="0"/>
      <name val="Avenir LT Std 35 Light"/>
      <family val="2"/>
    </font>
    <font>
      <b/>
      <sz val="8"/>
      <color theme="1"/>
      <name val="Calibri"/>
      <family val="2"/>
      <scheme val="minor"/>
    </font>
    <font>
      <b/>
      <u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FF00"/>
      <name val="Calibri"/>
      <family val="2"/>
      <scheme val="minor"/>
    </font>
    <font>
      <b/>
      <sz val="8"/>
      <color theme="7" tint="0.59999389629810485"/>
      <name val="Calibri"/>
      <family val="2"/>
      <scheme val="minor"/>
    </font>
    <font>
      <b/>
      <sz val="8"/>
      <color theme="9" tint="0.39997558519241921"/>
      <name val="Calibri"/>
      <family val="2"/>
      <scheme val="minor"/>
    </font>
    <font>
      <sz val="8"/>
      <name val="Arial"/>
      <family val="2"/>
    </font>
    <font>
      <sz val="8"/>
      <color theme="0"/>
      <name val="Calibri"/>
      <family val="2"/>
      <scheme val="minor"/>
    </font>
    <font>
      <sz val="8"/>
      <color rgb="FFFFFF00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8"/>
      <color rgb="FFFFE69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80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BE6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5F497A"/>
        <bgColor rgb="FF5F497A"/>
      </patternFill>
    </fill>
    <fill>
      <patternFill patternType="solid">
        <fgColor rgb="FF666633"/>
        <bgColor rgb="FF66663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BD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21" fillId="0" borderId="0"/>
    <xf numFmtId="44" fontId="1" fillId="0" borderId="0" applyFont="0" applyFill="0" applyBorder="0" applyAlignment="0" applyProtection="0"/>
  </cellStyleXfs>
  <cellXfs count="603">
    <xf numFmtId="0" fontId="0" fillId="0" borderId="0" xfId="0"/>
    <xf numFmtId="0" fontId="4" fillId="0" borderId="0" xfId="0" applyFont="1"/>
    <xf numFmtId="0" fontId="5" fillId="3" borderId="4" xfId="4" applyFont="1" applyFill="1" applyBorder="1" applyAlignment="1">
      <alignment horizontal="right" vertical="center"/>
    </xf>
    <xf numFmtId="0" fontId="6" fillId="4" borderId="5" xfId="4" applyFont="1" applyFill="1" applyBorder="1" applyAlignment="1" applyProtection="1">
      <alignment vertical="center"/>
      <protection locked="0"/>
    </xf>
    <xf numFmtId="0" fontId="4" fillId="5" borderId="1" xfId="4" applyFont="1" applyFill="1" applyBorder="1" applyAlignment="1">
      <alignment horizontal="center" vertical="center"/>
    </xf>
    <xf numFmtId="0" fontId="4" fillId="5" borderId="4" xfId="4" applyFont="1" applyFill="1" applyBorder="1" applyAlignment="1" applyProtection="1">
      <alignment horizontal="center" vertical="center"/>
      <protection hidden="1"/>
    </xf>
    <xf numFmtId="0" fontId="4" fillId="5" borderId="4" xfId="4" applyFont="1" applyFill="1" applyBorder="1" applyAlignment="1" applyProtection="1">
      <alignment horizontal="center" vertical="center" wrapText="1"/>
      <protection hidden="1"/>
    </xf>
    <xf numFmtId="0" fontId="7" fillId="0" borderId="0" xfId="0" applyFont="1"/>
    <xf numFmtId="0" fontId="4" fillId="0" borderId="0" xfId="0" applyFont="1" applyAlignment="1">
      <alignment horizontal="center"/>
    </xf>
    <xf numFmtId="0" fontId="5" fillId="3" borderId="8" xfId="4" applyFont="1" applyFill="1" applyBorder="1" applyAlignment="1">
      <alignment horizontal="right" vertical="center"/>
    </xf>
    <xf numFmtId="0" fontId="8" fillId="3" borderId="8" xfId="4" applyFont="1" applyFill="1" applyBorder="1" applyAlignment="1">
      <alignment vertical="center"/>
    </xf>
    <xf numFmtId="1" fontId="8" fillId="6" borderId="9" xfId="1" applyNumberFormat="1" applyFont="1" applyFill="1" applyBorder="1" applyAlignment="1" applyProtection="1">
      <alignment horizontal="center" vertical="center"/>
      <protection hidden="1"/>
    </xf>
    <xf numFmtId="44" fontId="8" fillId="6" borderId="9" xfId="1" applyNumberFormat="1" applyFont="1" applyFill="1" applyBorder="1" applyAlignment="1" applyProtection="1">
      <alignment horizontal="center" vertical="center"/>
      <protection hidden="1"/>
    </xf>
    <xf numFmtId="0" fontId="5" fillId="3" borderId="8" xfId="5" applyFont="1" applyFill="1" applyBorder="1" applyAlignment="1">
      <alignment horizontal="right" vertical="center"/>
    </xf>
    <xf numFmtId="0" fontId="6" fillId="4" borderId="5" xfId="4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9" fontId="9" fillId="0" borderId="0" xfId="4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left"/>
    </xf>
    <xf numFmtId="0" fontId="5" fillId="3" borderId="11" xfId="4" applyFont="1" applyFill="1" applyBorder="1" applyAlignment="1">
      <alignment horizontal="right" vertical="center"/>
    </xf>
    <xf numFmtId="0" fontId="5" fillId="3" borderId="0" xfId="4" applyFont="1" applyFill="1" applyAlignment="1">
      <alignment horizontal="right" vertical="center"/>
    </xf>
    <xf numFmtId="1" fontId="8" fillId="0" borderId="12" xfId="4" applyNumberFormat="1" applyFont="1" applyBorder="1" applyAlignment="1">
      <alignment horizontal="center" vertical="center"/>
    </xf>
    <xf numFmtId="1" fontId="8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" fontId="10" fillId="0" borderId="12" xfId="4" applyNumberFormat="1" applyFont="1" applyBorder="1" applyAlignment="1">
      <alignment horizontal="center" vertical="center"/>
    </xf>
    <xf numFmtId="1" fontId="10" fillId="0" borderId="0" xfId="4" applyNumberFormat="1" applyFont="1" applyAlignment="1">
      <alignment horizontal="center" vertical="center"/>
    </xf>
    <xf numFmtId="1" fontId="9" fillId="0" borderId="12" xfId="5" applyNumberFormat="1" applyFont="1" applyBorder="1" applyAlignment="1">
      <alignment horizontal="center" vertical="center"/>
    </xf>
    <xf numFmtId="1" fontId="9" fillId="0" borderId="0" xfId="5" applyNumberFormat="1" applyFont="1" applyAlignment="1">
      <alignment horizontal="center" vertical="center"/>
    </xf>
    <xf numFmtId="0" fontId="9" fillId="0" borderId="0" xfId="5" applyFont="1" applyAlignment="1">
      <alignment vertical="center"/>
    </xf>
    <xf numFmtId="1" fontId="7" fillId="0" borderId="12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5" fillId="3" borderId="5" xfId="4" applyFont="1" applyFill="1" applyBorder="1" applyAlignment="1">
      <alignment horizontal="right" vertical="center"/>
    </xf>
    <xf numFmtId="0" fontId="6" fillId="4" borderId="5" xfId="4" applyFont="1" applyFill="1" applyBorder="1" applyAlignment="1">
      <alignment vertical="center"/>
    </xf>
    <xf numFmtId="0" fontId="4" fillId="5" borderId="5" xfId="4" applyFont="1" applyFill="1" applyBorder="1" applyAlignment="1">
      <alignment vertical="center"/>
    </xf>
    <xf numFmtId="0" fontId="4" fillId="5" borderId="14" xfId="1" applyNumberFormat="1" applyFont="1" applyFill="1" applyBorder="1" applyAlignment="1" applyProtection="1">
      <alignment horizontal="center" vertical="center"/>
      <protection hidden="1"/>
    </xf>
    <xf numFmtId="0" fontId="4" fillId="5" borderId="11" xfId="2" applyNumberFormat="1" applyFont="1" applyFill="1" applyBorder="1" applyAlignment="1" applyProtection="1">
      <alignment horizontal="center" vertical="center"/>
      <protection hidden="1"/>
    </xf>
    <xf numFmtId="44" fontId="4" fillId="5" borderId="11" xfId="2" applyFont="1" applyFill="1" applyBorder="1" applyAlignment="1" applyProtection="1">
      <alignment horizontal="center" vertical="center"/>
      <protection hidden="1"/>
    </xf>
    <xf numFmtId="44" fontId="4" fillId="5" borderId="17" xfId="2" applyFont="1" applyFill="1" applyBorder="1" applyAlignment="1" applyProtection="1">
      <alignment horizontal="center" vertical="center"/>
      <protection hidden="1"/>
    </xf>
    <xf numFmtId="9" fontId="7" fillId="0" borderId="0" xfId="0" applyNumberFormat="1" applyFont="1"/>
    <xf numFmtId="1" fontId="8" fillId="2" borderId="5" xfId="5" applyNumberFormat="1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9" fillId="8" borderId="0" xfId="0" applyFont="1" applyFill="1"/>
    <xf numFmtId="1" fontId="4" fillId="10" borderId="5" xfId="6" applyNumberFormat="1" applyFont="1" applyFill="1" applyBorder="1" applyAlignment="1">
      <alignment horizontal="center" vertical="center"/>
    </xf>
    <xf numFmtId="0" fontId="8" fillId="10" borderId="5" xfId="6" applyFont="1" applyFill="1" applyBorder="1" applyAlignment="1">
      <alignment horizontal="left" vertical="center"/>
    </xf>
    <xf numFmtId="0" fontId="4" fillId="10" borderId="5" xfId="6" applyFont="1" applyFill="1" applyBorder="1" applyAlignment="1">
      <alignment horizontal="center" vertical="center"/>
    </xf>
    <xf numFmtId="0" fontId="8" fillId="10" borderId="5" xfId="6" applyFont="1" applyFill="1" applyBorder="1" applyAlignment="1">
      <alignment horizontal="center" vertical="center"/>
    </xf>
    <xf numFmtId="1" fontId="9" fillId="8" borderId="0" xfId="0" applyNumberFormat="1" applyFont="1" applyFill="1"/>
    <xf numFmtId="1" fontId="9" fillId="0" borderId="18" xfId="0" applyNumberFormat="1" applyFont="1" applyBorder="1" applyAlignment="1">
      <alignment horizontal="center"/>
    </xf>
    <xf numFmtId="49" fontId="9" fillId="0" borderId="18" xfId="0" applyNumberFormat="1" applyFont="1" applyBorder="1"/>
    <xf numFmtId="0" fontId="4" fillId="11" borderId="18" xfId="4" applyFont="1" applyFill="1" applyBorder="1" applyAlignment="1" applyProtection="1">
      <alignment horizontal="center" vertical="center" wrapText="1"/>
      <protection locked="0"/>
    </xf>
    <xf numFmtId="44" fontId="9" fillId="0" borderId="18" xfId="2" applyFont="1" applyFill="1" applyBorder="1" applyAlignment="1" applyProtection="1">
      <alignment horizontal="center" vertical="center" wrapText="1"/>
      <protection hidden="1"/>
    </xf>
    <xf numFmtId="44" fontId="9" fillId="0" borderId="18" xfId="2" applyFont="1" applyFill="1" applyBorder="1" applyAlignment="1" applyProtection="1">
      <alignment horizontal="center" vertical="center"/>
      <protection hidden="1"/>
    </xf>
    <xf numFmtId="44" fontId="9" fillId="0" borderId="18" xfId="2" applyFont="1" applyFill="1" applyBorder="1" applyAlignment="1" applyProtection="1">
      <alignment vertical="center"/>
      <protection hidden="1"/>
    </xf>
    <xf numFmtId="44" fontId="9" fillId="0" borderId="19" xfId="2" applyFont="1" applyFill="1" applyBorder="1" applyAlignment="1" applyProtection="1">
      <alignment vertical="center"/>
      <protection hidden="1"/>
    </xf>
    <xf numFmtId="1" fontId="9" fillId="0" borderId="20" xfId="0" applyNumberFormat="1" applyFont="1" applyBorder="1" applyAlignment="1">
      <alignment horizontal="center"/>
    </xf>
    <xf numFmtId="49" fontId="9" fillId="0" borderId="20" xfId="0" applyNumberFormat="1" applyFont="1" applyBorder="1"/>
    <xf numFmtId="0" fontId="4" fillId="11" borderId="20" xfId="4" applyFont="1" applyFill="1" applyBorder="1" applyAlignment="1" applyProtection="1">
      <alignment horizontal="center" vertical="center" wrapText="1"/>
      <protection locked="0"/>
    </xf>
    <xf numFmtId="44" fontId="9" fillId="0" borderId="20" xfId="2" applyFont="1" applyFill="1" applyBorder="1" applyAlignment="1" applyProtection="1">
      <alignment horizontal="center" vertical="center"/>
      <protection hidden="1"/>
    </xf>
    <xf numFmtId="44" fontId="9" fillId="0" borderId="20" xfId="2" applyFont="1" applyFill="1" applyBorder="1" applyAlignment="1" applyProtection="1">
      <alignment vertical="center"/>
      <protection hidden="1"/>
    </xf>
    <xf numFmtId="44" fontId="9" fillId="0" borderId="21" xfId="2" applyFont="1" applyFill="1" applyBorder="1" applyAlignment="1" applyProtection="1">
      <alignment vertical="center"/>
      <protection hidden="1"/>
    </xf>
    <xf numFmtId="1" fontId="9" fillId="0" borderId="22" xfId="0" applyNumberFormat="1" applyFont="1" applyBorder="1" applyAlignment="1">
      <alignment horizontal="center"/>
    </xf>
    <xf numFmtId="49" fontId="9" fillId="0" borderId="22" xfId="0" applyNumberFormat="1" applyFont="1" applyBorder="1"/>
    <xf numFmtId="0" fontId="4" fillId="11" borderId="22" xfId="4" applyFont="1" applyFill="1" applyBorder="1" applyAlignment="1" applyProtection="1">
      <alignment horizontal="center" vertical="center" wrapText="1"/>
      <protection locked="0"/>
    </xf>
    <xf numFmtId="44" fontId="9" fillId="0" borderId="22" xfId="2" applyFont="1" applyFill="1" applyBorder="1" applyAlignment="1" applyProtection="1">
      <alignment horizontal="center" vertical="center"/>
      <protection hidden="1"/>
    </xf>
    <xf numFmtId="44" fontId="9" fillId="0" borderId="22" xfId="2" applyFont="1" applyFill="1" applyBorder="1" applyAlignment="1" applyProtection="1">
      <alignment vertical="center"/>
      <protection hidden="1"/>
    </xf>
    <xf numFmtId="44" fontId="9" fillId="0" borderId="23" xfId="2" applyFont="1" applyFill="1" applyBorder="1" applyAlignment="1" applyProtection="1">
      <alignment vertical="center"/>
      <protection hidden="1"/>
    </xf>
    <xf numFmtId="1" fontId="9" fillId="10" borderId="5" xfId="7" applyNumberFormat="1" applyFont="1" applyFill="1" applyBorder="1" applyAlignment="1">
      <alignment horizontal="center" vertical="center"/>
    </xf>
    <xf numFmtId="1" fontId="9" fillId="10" borderId="8" xfId="7" applyNumberFormat="1" applyFont="1" applyFill="1" applyBorder="1" applyAlignment="1">
      <alignment horizontal="center" vertical="center"/>
    </xf>
    <xf numFmtId="0" fontId="4" fillId="10" borderId="5" xfId="7" applyFont="1" applyFill="1" applyBorder="1" applyAlignment="1" applyProtection="1">
      <alignment vertical="center"/>
      <protection locked="0"/>
    </xf>
    <xf numFmtId="0" fontId="9" fillId="10" borderId="5" xfId="7" applyFont="1" applyFill="1" applyBorder="1" applyAlignment="1" applyProtection="1">
      <alignment vertical="center"/>
      <protection hidden="1"/>
    </xf>
    <xf numFmtId="0" fontId="9" fillId="10" borderId="1" xfId="7" applyFont="1" applyFill="1" applyBorder="1" applyAlignment="1" applyProtection="1">
      <alignment vertical="center"/>
      <protection hidden="1"/>
    </xf>
    <xf numFmtId="1" fontId="10" fillId="10" borderId="5" xfId="6" applyNumberFormat="1" applyFont="1" applyFill="1" applyBorder="1" applyAlignment="1">
      <alignment horizontal="center" vertical="center"/>
    </xf>
    <xf numFmtId="1" fontId="10" fillId="10" borderId="8" xfId="6" applyNumberFormat="1" applyFont="1" applyFill="1" applyBorder="1" applyAlignment="1">
      <alignment horizontal="center" vertical="center"/>
    </xf>
    <xf numFmtId="0" fontId="9" fillId="8" borderId="0" xfId="4" applyFont="1" applyFill="1" applyAlignment="1">
      <alignment vertical="center"/>
    </xf>
    <xf numFmtId="1" fontId="9" fillId="12" borderId="1" xfId="0" applyNumberFormat="1" applyFont="1" applyFill="1" applyBorder="1" applyAlignment="1">
      <alignment horizontal="center" vertical="center"/>
    </xf>
    <xf numFmtId="0" fontId="8" fillId="12" borderId="5" xfId="4" applyFont="1" applyFill="1" applyBorder="1" applyAlignment="1">
      <alignment vertical="center"/>
    </xf>
    <xf numFmtId="49" fontId="8" fillId="12" borderId="5" xfId="0" applyNumberFormat="1" applyFont="1" applyFill="1" applyBorder="1"/>
    <xf numFmtId="165" fontId="10" fillId="12" borderId="5" xfId="4" applyNumberFormat="1" applyFont="1" applyFill="1" applyBorder="1" applyAlignment="1" applyProtection="1">
      <alignment horizontal="center" vertical="center" wrapText="1"/>
      <protection locked="0"/>
    </xf>
    <xf numFmtId="165" fontId="10" fillId="11" borderId="18" xfId="4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165" fontId="10" fillId="11" borderId="20" xfId="4" applyNumberFormat="1" applyFont="1" applyFill="1" applyBorder="1" applyAlignment="1" applyProtection="1">
      <alignment horizontal="center" vertical="center" wrapText="1"/>
      <protection locked="0"/>
    </xf>
    <xf numFmtId="1" fontId="9" fillId="13" borderId="5" xfId="7" applyNumberFormat="1" applyFont="1" applyFill="1" applyBorder="1" applyAlignment="1">
      <alignment horizontal="center" vertical="center"/>
    </xf>
    <xf numFmtId="1" fontId="9" fillId="13" borderId="8" xfId="7" applyNumberFormat="1" applyFont="1" applyFill="1" applyBorder="1" applyAlignment="1">
      <alignment horizontal="center" vertical="center"/>
    </xf>
    <xf numFmtId="0" fontId="10" fillId="13" borderId="5" xfId="6" applyFont="1" applyFill="1" applyBorder="1" applyAlignment="1">
      <alignment horizontal="left" vertical="center"/>
    </xf>
    <xf numFmtId="44" fontId="9" fillId="13" borderId="5" xfId="2" applyFont="1" applyFill="1" applyBorder="1" applyAlignment="1" applyProtection="1">
      <alignment horizontal="center" vertical="center" wrapText="1"/>
      <protection hidden="1"/>
    </xf>
    <xf numFmtId="0" fontId="9" fillId="13" borderId="5" xfId="7" applyFont="1" applyFill="1" applyBorder="1" applyAlignment="1" applyProtection="1">
      <alignment vertical="center"/>
      <protection hidden="1"/>
    </xf>
    <xf numFmtId="0" fontId="9" fillId="13" borderId="1" xfId="7" applyFont="1" applyFill="1" applyBorder="1" applyAlignment="1" applyProtection="1">
      <alignment vertical="center"/>
      <protection hidden="1"/>
    </xf>
    <xf numFmtId="0" fontId="9" fillId="8" borderId="0" xfId="6" applyFont="1" applyFill="1" applyAlignment="1">
      <alignment horizontal="center" vertical="center"/>
    </xf>
    <xf numFmtId="0" fontId="10" fillId="8" borderId="0" xfId="6" applyFont="1" applyFill="1" applyAlignment="1">
      <alignment horizontal="center" vertical="center"/>
    </xf>
    <xf numFmtId="0" fontId="9" fillId="0" borderId="0" xfId="4" applyFont="1" applyAlignment="1">
      <alignment vertical="center"/>
    </xf>
    <xf numFmtId="1" fontId="9" fillId="0" borderId="25" xfId="0" applyNumberFormat="1" applyFont="1" applyBorder="1" applyAlignment="1">
      <alignment horizontal="center"/>
    </xf>
    <xf numFmtId="49" fontId="9" fillId="0" borderId="25" xfId="0" applyNumberFormat="1" applyFont="1" applyBorder="1"/>
    <xf numFmtId="0" fontId="9" fillId="8" borderId="0" xfId="0" applyFont="1" applyFill="1" applyAlignment="1">
      <alignment horizontal="center" vertical="center"/>
    </xf>
    <xf numFmtId="1" fontId="9" fillId="6" borderId="5" xfId="6" applyNumberFormat="1" applyFont="1" applyFill="1" applyBorder="1" applyAlignment="1">
      <alignment horizontal="center" vertical="center"/>
    </xf>
    <xf numFmtId="1" fontId="9" fillId="6" borderId="8" xfId="6" applyNumberFormat="1" applyFont="1" applyFill="1" applyBorder="1" applyAlignment="1">
      <alignment horizontal="center" vertical="center"/>
    </xf>
    <xf numFmtId="0" fontId="10" fillId="6" borderId="5" xfId="6" applyFont="1" applyFill="1" applyBorder="1" applyAlignment="1">
      <alignment horizontal="left" vertical="center"/>
    </xf>
    <xf numFmtId="164" fontId="14" fillId="6" borderId="5" xfId="8" applyFont="1" applyFill="1" applyBorder="1" applyAlignment="1" applyProtection="1">
      <alignment vertical="center"/>
      <protection hidden="1"/>
    </xf>
    <xf numFmtId="164" fontId="14" fillId="6" borderId="1" xfId="8" applyFont="1" applyFill="1" applyBorder="1" applyAlignment="1" applyProtection="1">
      <alignment vertical="center"/>
      <protection hidden="1"/>
    </xf>
    <xf numFmtId="1" fontId="9" fillId="0" borderId="26" xfId="0" applyNumberFormat="1" applyFont="1" applyBorder="1" applyAlignment="1">
      <alignment horizontal="center"/>
    </xf>
    <xf numFmtId="49" fontId="9" fillId="0" borderId="26" xfId="0" applyNumberFormat="1" applyFont="1" applyBorder="1"/>
    <xf numFmtId="44" fontId="9" fillId="0" borderId="26" xfId="2" applyFont="1" applyFill="1" applyBorder="1" applyAlignment="1" applyProtection="1">
      <alignment horizontal="center" vertical="center"/>
      <protection hidden="1"/>
    </xf>
    <xf numFmtId="44" fontId="9" fillId="0" borderId="26" xfId="2" applyFont="1" applyFill="1" applyBorder="1" applyAlignment="1" applyProtection="1">
      <alignment vertical="center"/>
      <protection hidden="1"/>
    </xf>
    <xf numFmtId="44" fontId="9" fillId="0" borderId="27" xfId="2" applyFont="1" applyFill="1" applyBorder="1" applyAlignment="1" applyProtection="1">
      <alignment vertical="center"/>
      <protection hidden="1"/>
    </xf>
    <xf numFmtId="1" fontId="10" fillId="14" borderId="5" xfId="6" applyNumberFormat="1" applyFont="1" applyFill="1" applyBorder="1" applyAlignment="1">
      <alignment horizontal="center" vertical="center"/>
    </xf>
    <xf numFmtId="1" fontId="10" fillId="14" borderId="8" xfId="6" applyNumberFormat="1" applyFont="1" applyFill="1" applyBorder="1" applyAlignment="1">
      <alignment horizontal="center" vertical="center"/>
    </xf>
    <xf numFmtId="0" fontId="10" fillId="14" borderId="5" xfId="6" applyFont="1" applyFill="1" applyBorder="1" applyAlignment="1">
      <alignment horizontal="left" vertical="center"/>
    </xf>
    <xf numFmtId="0" fontId="7" fillId="14" borderId="5" xfId="7" applyFont="1" applyFill="1" applyBorder="1" applyAlignment="1" applyProtection="1">
      <alignment vertical="center"/>
      <protection hidden="1"/>
    </xf>
    <xf numFmtId="0" fontId="7" fillId="14" borderId="1" xfId="7" applyFont="1" applyFill="1" applyBorder="1" applyAlignment="1" applyProtection="1">
      <alignment vertical="center"/>
      <protection hidden="1"/>
    </xf>
    <xf numFmtId="0" fontId="8" fillId="3" borderId="8" xfId="5" applyFont="1" applyFill="1" applyBorder="1" applyAlignment="1">
      <alignment vertical="center"/>
    </xf>
    <xf numFmtId="0" fontId="4" fillId="10" borderId="5" xfId="6" applyFont="1" applyFill="1" applyBorder="1" applyAlignment="1" applyProtection="1">
      <alignment horizontal="center" vertical="center"/>
      <protection hidden="1"/>
    </xf>
    <xf numFmtId="0" fontId="4" fillId="10" borderId="1" xfId="6" applyFont="1" applyFill="1" applyBorder="1" applyAlignment="1" applyProtection="1">
      <alignment horizontal="center" vertical="center"/>
      <protection hidden="1"/>
    </xf>
    <xf numFmtId="0" fontId="10" fillId="11" borderId="20" xfId="4" applyFont="1" applyFill="1" applyBorder="1" applyAlignment="1" applyProtection="1">
      <alignment horizontal="center" vertical="center" wrapText="1"/>
      <protection locked="0"/>
    </xf>
    <xf numFmtId="44" fontId="9" fillId="8" borderId="0" xfId="0" applyNumberFormat="1" applyFont="1" applyFill="1"/>
    <xf numFmtId="1" fontId="10" fillId="15" borderId="5" xfId="9" applyNumberFormat="1" applyFont="1" applyFill="1" applyBorder="1" applyAlignment="1">
      <alignment horizontal="center" vertical="center" wrapText="1"/>
    </xf>
    <xf numFmtId="1" fontId="10" fillId="15" borderId="8" xfId="9" applyNumberFormat="1" applyFont="1" applyFill="1" applyBorder="1" applyAlignment="1">
      <alignment horizontal="center" vertical="center" wrapText="1"/>
    </xf>
    <xf numFmtId="0" fontId="8" fillId="15" borderId="5" xfId="9" applyFont="1" applyFill="1" applyBorder="1" applyAlignment="1" applyProtection="1">
      <alignment vertical="center" wrapText="1"/>
      <protection hidden="1"/>
    </xf>
    <xf numFmtId="165" fontId="8" fillId="15" borderId="5" xfId="9" applyNumberFormat="1" applyFont="1" applyFill="1" applyBorder="1" applyAlignment="1" applyProtection="1">
      <alignment horizontal="center" vertical="center" wrapText="1"/>
      <protection hidden="1"/>
    </xf>
    <xf numFmtId="0" fontId="8" fillId="15" borderId="1" xfId="9" applyFont="1" applyFill="1" applyBorder="1" applyAlignment="1" applyProtection="1">
      <alignment vertical="center" wrapText="1"/>
      <protection hidden="1"/>
    </xf>
    <xf numFmtId="0" fontId="9" fillId="0" borderId="20" xfId="9" applyFont="1" applyBorder="1" applyAlignment="1">
      <alignment horizontal="left" vertical="center" wrapText="1"/>
    </xf>
    <xf numFmtId="1" fontId="10" fillId="16" borderId="5" xfId="9" applyNumberFormat="1" applyFont="1" applyFill="1" applyBorder="1" applyAlignment="1">
      <alignment horizontal="center" vertical="center" wrapText="1"/>
    </xf>
    <xf numFmtId="1" fontId="10" fillId="16" borderId="8" xfId="9" applyNumberFormat="1" applyFont="1" applyFill="1" applyBorder="1" applyAlignment="1">
      <alignment horizontal="center" vertical="center" wrapText="1"/>
    </xf>
    <xf numFmtId="0" fontId="8" fillId="16" borderId="5" xfId="9" applyFont="1" applyFill="1" applyBorder="1" applyAlignment="1">
      <alignment vertical="center" wrapText="1"/>
    </xf>
    <xf numFmtId="0" fontId="10" fillId="16" borderId="5" xfId="9" applyFont="1" applyFill="1" applyBorder="1" applyAlignment="1" applyProtection="1">
      <alignment vertical="center" wrapText="1"/>
      <protection hidden="1"/>
    </xf>
    <xf numFmtId="0" fontId="10" fillId="16" borderId="5" xfId="9" applyFont="1" applyFill="1" applyBorder="1" applyAlignment="1" applyProtection="1">
      <alignment horizontal="center" vertical="center" wrapText="1"/>
      <protection hidden="1"/>
    </xf>
    <xf numFmtId="0" fontId="10" fillId="16" borderId="1" xfId="9" applyFont="1" applyFill="1" applyBorder="1" applyAlignment="1" applyProtection="1">
      <alignment vertical="center" wrapText="1"/>
      <protection hidden="1"/>
    </xf>
    <xf numFmtId="1" fontId="4" fillId="11" borderId="20" xfId="4" applyNumberFormat="1" applyFont="1" applyFill="1" applyBorder="1" applyAlignment="1" applyProtection="1">
      <alignment horizontal="center" vertical="center" wrapText="1"/>
      <protection locked="0"/>
    </xf>
    <xf numFmtId="1" fontId="10" fillId="17" borderId="5" xfId="9" applyNumberFormat="1" applyFont="1" applyFill="1" applyBorder="1" applyAlignment="1">
      <alignment horizontal="center" vertical="center" wrapText="1"/>
    </xf>
    <xf numFmtId="1" fontId="10" fillId="17" borderId="8" xfId="9" applyNumberFormat="1" applyFont="1" applyFill="1" applyBorder="1" applyAlignment="1">
      <alignment horizontal="center" vertical="center" wrapText="1"/>
    </xf>
    <xf numFmtId="0" fontId="8" fillId="17" borderId="5" xfId="9" applyFont="1" applyFill="1" applyBorder="1" applyAlignment="1">
      <alignment vertical="center" wrapText="1"/>
    </xf>
    <xf numFmtId="0" fontId="10" fillId="17" borderId="5" xfId="9" applyFont="1" applyFill="1" applyBorder="1" applyAlignment="1" applyProtection="1">
      <alignment vertical="center" wrapText="1"/>
      <protection hidden="1"/>
    </xf>
    <xf numFmtId="0" fontId="8" fillId="17" borderId="5" xfId="9" applyFont="1" applyFill="1" applyBorder="1" applyAlignment="1" applyProtection="1">
      <alignment horizontal="center" vertical="center" wrapText="1"/>
      <protection hidden="1"/>
    </xf>
    <xf numFmtId="0" fontId="8" fillId="17" borderId="5" xfId="9" applyFont="1" applyFill="1" applyBorder="1" applyAlignment="1" applyProtection="1">
      <alignment vertical="center" wrapText="1"/>
      <protection hidden="1"/>
    </xf>
    <xf numFmtId="0" fontId="8" fillId="17" borderId="1" xfId="9" applyFont="1" applyFill="1" applyBorder="1" applyAlignment="1" applyProtection="1">
      <alignment vertical="center" wrapText="1"/>
      <protection hidden="1"/>
    </xf>
    <xf numFmtId="1" fontId="10" fillId="18" borderId="5" xfId="9" applyNumberFormat="1" applyFont="1" applyFill="1" applyBorder="1" applyAlignment="1">
      <alignment horizontal="center" vertical="center" wrapText="1"/>
    </xf>
    <xf numFmtId="1" fontId="10" fillId="18" borderId="8" xfId="9" applyNumberFormat="1" applyFont="1" applyFill="1" applyBorder="1" applyAlignment="1">
      <alignment horizontal="center" vertical="center" wrapText="1"/>
    </xf>
    <xf numFmtId="0" fontId="8" fillId="18" borderId="5" xfId="9" applyFont="1" applyFill="1" applyBorder="1" applyAlignment="1">
      <alignment vertical="center" wrapText="1"/>
    </xf>
    <xf numFmtId="0" fontId="10" fillId="18" borderId="5" xfId="9" applyFont="1" applyFill="1" applyBorder="1" applyAlignment="1" applyProtection="1">
      <alignment vertical="center" wrapText="1"/>
      <protection hidden="1"/>
    </xf>
    <xf numFmtId="0" fontId="8" fillId="18" borderId="5" xfId="9" applyFont="1" applyFill="1" applyBorder="1" applyAlignment="1" applyProtection="1">
      <alignment horizontal="center" vertical="center" wrapText="1"/>
      <protection hidden="1"/>
    </xf>
    <xf numFmtId="0" fontId="8" fillId="18" borderId="5" xfId="9" applyFont="1" applyFill="1" applyBorder="1" applyAlignment="1" applyProtection="1">
      <alignment vertical="center" wrapText="1"/>
      <protection hidden="1"/>
    </xf>
    <xf numFmtId="0" fontId="8" fillId="18" borderId="1" xfId="9" applyFont="1" applyFill="1" applyBorder="1" applyAlignment="1" applyProtection="1">
      <alignment vertical="center" wrapText="1"/>
      <protection hidden="1"/>
    </xf>
    <xf numFmtId="0" fontId="10" fillId="19" borderId="5" xfId="9" applyFont="1" applyFill="1" applyBorder="1" applyAlignment="1">
      <alignment vertical="center" wrapText="1"/>
    </xf>
    <xf numFmtId="0" fontId="10" fillId="19" borderId="8" xfId="9" applyFont="1" applyFill="1" applyBorder="1" applyAlignment="1">
      <alignment vertical="center" wrapText="1"/>
    </xf>
    <xf numFmtId="0" fontId="8" fillId="19" borderId="5" xfId="9" applyFont="1" applyFill="1" applyBorder="1" applyAlignment="1">
      <alignment vertical="center" wrapText="1"/>
    </xf>
    <xf numFmtId="0" fontId="10" fillId="19" borderId="5" xfId="9" applyFont="1" applyFill="1" applyBorder="1" applyAlignment="1" applyProtection="1">
      <alignment vertical="center" wrapText="1"/>
      <protection hidden="1"/>
    </xf>
    <xf numFmtId="0" fontId="8" fillId="19" borderId="5" xfId="9" applyFont="1" applyFill="1" applyBorder="1" applyAlignment="1" applyProtection="1">
      <alignment horizontal="center" vertical="center" wrapText="1"/>
      <protection hidden="1"/>
    </xf>
    <xf numFmtId="0" fontId="8" fillId="19" borderId="5" xfId="9" applyFont="1" applyFill="1" applyBorder="1" applyAlignment="1" applyProtection="1">
      <alignment vertical="center" wrapText="1"/>
      <protection hidden="1"/>
    </xf>
    <xf numFmtId="0" fontId="8" fillId="19" borderId="1" xfId="9" applyFont="1" applyFill="1" applyBorder="1" applyAlignment="1" applyProtection="1">
      <alignment vertical="center" wrapText="1"/>
      <protection hidden="1"/>
    </xf>
    <xf numFmtId="1" fontId="10" fillId="20" borderId="5" xfId="9" applyNumberFormat="1" applyFont="1" applyFill="1" applyBorder="1" applyAlignment="1">
      <alignment horizontal="center" vertical="center" wrapText="1"/>
    </xf>
    <xf numFmtId="1" fontId="10" fillId="20" borderId="8" xfId="9" applyNumberFormat="1" applyFont="1" applyFill="1" applyBorder="1" applyAlignment="1">
      <alignment horizontal="center" vertical="center" wrapText="1"/>
    </xf>
    <xf numFmtId="0" fontId="8" fillId="20" borderId="5" xfId="9" applyFont="1" applyFill="1" applyBorder="1" applyAlignment="1">
      <alignment horizontal="left" vertical="top" wrapText="1"/>
    </xf>
    <xf numFmtId="0" fontId="8" fillId="20" borderId="5" xfId="9" applyFont="1" applyFill="1" applyBorder="1" applyAlignment="1" applyProtection="1">
      <alignment horizontal="left" vertical="center" wrapText="1"/>
      <protection hidden="1"/>
    </xf>
    <xf numFmtId="165" fontId="10" fillId="20" borderId="5" xfId="9" applyNumberFormat="1" applyFont="1" applyFill="1" applyBorder="1" applyAlignment="1" applyProtection="1">
      <alignment horizontal="center" vertical="center" wrapText="1"/>
      <protection hidden="1"/>
    </xf>
    <xf numFmtId="0" fontId="8" fillId="20" borderId="1" xfId="9" applyFont="1" applyFill="1" applyBorder="1" applyAlignment="1" applyProtection="1">
      <alignment horizontal="left" vertical="center" wrapText="1"/>
      <protection hidden="1"/>
    </xf>
    <xf numFmtId="1" fontId="9" fillId="0" borderId="1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44" fontId="9" fillId="0" borderId="8" xfId="2" applyFont="1" applyFill="1" applyBorder="1" applyAlignment="1" applyProtection="1">
      <alignment vertical="center"/>
      <protection hidden="1"/>
    </xf>
    <xf numFmtId="44" fontId="9" fillId="0" borderId="8" xfId="2" applyFont="1" applyFill="1" applyBorder="1" applyAlignment="1" applyProtection="1">
      <alignment horizontal="center" vertical="center"/>
      <protection hidden="1"/>
    </xf>
    <xf numFmtId="44" fontId="9" fillId="0" borderId="12" xfId="2" applyFont="1" applyFill="1" applyBorder="1" applyAlignment="1" applyProtection="1">
      <alignment vertical="center"/>
      <protection hidden="1"/>
    </xf>
    <xf numFmtId="0" fontId="9" fillId="0" borderId="20" xfId="0" applyFont="1" applyBorder="1" applyAlignment="1">
      <alignment horizontal="left" vertical="center" wrapText="1"/>
    </xf>
    <xf numFmtId="1" fontId="9" fillId="0" borderId="20" xfId="0" applyNumberFormat="1" applyFont="1" applyBorder="1" applyAlignment="1">
      <alignment horizontal="center" vertical="center"/>
    </xf>
    <xf numFmtId="1" fontId="10" fillId="21" borderId="5" xfId="9" applyNumberFormat="1" applyFont="1" applyFill="1" applyBorder="1" applyAlignment="1">
      <alignment horizontal="center" vertical="center" wrapText="1"/>
    </xf>
    <xf numFmtId="1" fontId="10" fillId="21" borderId="8" xfId="9" applyNumberFormat="1" applyFont="1" applyFill="1" applyBorder="1" applyAlignment="1">
      <alignment horizontal="center" vertical="center" wrapText="1"/>
    </xf>
    <xf numFmtId="0" fontId="8" fillId="21" borderId="5" xfId="9" applyFont="1" applyFill="1" applyBorder="1" applyAlignment="1">
      <alignment horizontal="left" vertical="top" wrapText="1"/>
    </xf>
    <xf numFmtId="0" fontId="8" fillId="21" borderId="5" xfId="9" applyFont="1" applyFill="1" applyBorder="1" applyAlignment="1" applyProtection="1">
      <alignment horizontal="left" vertical="center" wrapText="1"/>
      <protection hidden="1"/>
    </xf>
    <xf numFmtId="165" fontId="8" fillId="21" borderId="5" xfId="9" applyNumberFormat="1" applyFont="1" applyFill="1" applyBorder="1" applyAlignment="1" applyProtection="1">
      <alignment horizontal="center" vertical="center" wrapText="1"/>
      <protection hidden="1"/>
    </xf>
    <xf numFmtId="0" fontId="8" fillId="21" borderId="1" xfId="9" applyFont="1" applyFill="1" applyBorder="1" applyAlignment="1" applyProtection="1">
      <alignment horizontal="left" vertical="center" wrapText="1"/>
      <protection hidden="1"/>
    </xf>
    <xf numFmtId="1" fontId="9" fillId="0" borderId="2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1" fontId="9" fillId="22" borderId="5" xfId="0" applyNumberFormat="1" applyFont="1" applyFill="1" applyBorder="1" applyAlignment="1">
      <alignment horizontal="center" vertical="center"/>
    </xf>
    <xf numFmtId="1" fontId="9" fillId="22" borderId="8" xfId="0" applyNumberFormat="1" applyFont="1" applyFill="1" applyBorder="1" applyAlignment="1">
      <alignment horizontal="center" vertical="center"/>
    </xf>
    <xf numFmtId="0" fontId="10" fillId="22" borderId="28" xfId="0" applyFont="1" applyFill="1" applyBorder="1" applyAlignment="1">
      <alignment horizontal="left" vertical="center"/>
    </xf>
    <xf numFmtId="1" fontId="7" fillId="22" borderId="5" xfId="0" applyNumberFormat="1" applyFont="1" applyFill="1" applyBorder="1" applyAlignment="1" applyProtection="1">
      <alignment horizontal="center" vertical="center"/>
      <protection locked="0"/>
    </xf>
    <xf numFmtId="1" fontId="7" fillId="22" borderId="5" xfId="0" applyNumberFormat="1" applyFont="1" applyFill="1" applyBorder="1" applyAlignment="1" applyProtection="1">
      <alignment horizontal="center" vertical="center"/>
      <protection hidden="1"/>
    </xf>
    <xf numFmtId="165" fontId="7" fillId="22" borderId="5" xfId="0" applyNumberFormat="1" applyFont="1" applyFill="1" applyBorder="1" applyAlignment="1" applyProtection="1">
      <alignment horizontal="center" vertical="center"/>
      <protection hidden="1"/>
    </xf>
    <xf numFmtId="1" fontId="7" fillId="22" borderId="1" xfId="0" applyNumberFormat="1" applyFont="1" applyFill="1" applyBorder="1" applyAlignment="1" applyProtection="1">
      <alignment horizontal="center" vertical="center"/>
      <protection hidden="1"/>
    </xf>
    <xf numFmtId="0" fontId="9" fillId="0" borderId="18" xfId="0" applyFont="1" applyBorder="1" applyAlignment="1">
      <alignment horizontal="left" vertical="center" wrapText="1"/>
    </xf>
    <xf numFmtId="1" fontId="9" fillId="23" borderId="5" xfId="0" applyNumberFormat="1" applyFont="1" applyFill="1" applyBorder="1" applyAlignment="1">
      <alignment horizontal="center" vertical="center"/>
    </xf>
    <xf numFmtId="1" fontId="9" fillId="23" borderId="8" xfId="0" applyNumberFormat="1" applyFont="1" applyFill="1" applyBorder="1" applyAlignment="1">
      <alignment horizontal="center" vertical="center"/>
    </xf>
    <xf numFmtId="0" fontId="10" fillId="23" borderId="28" xfId="0" applyFont="1" applyFill="1" applyBorder="1" applyAlignment="1">
      <alignment horizontal="left" vertical="center"/>
    </xf>
    <xf numFmtId="1" fontId="7" fillId="23" borderId="5" xfId="0" applyNumberFormat="1" applyFont="1" applyFill="1" applyBorder="1" applyAlignment="1" applyProtection="1">
      <alignment horizontal="center" vertical="center"/>
      <protection locked="0"/>
    </xf>
    <xf numFmtId="1" fontId="7" fillId="23" borderId="5" xfId="0" applyNumberFormat="1" applyFont="1" applyFill="1" applyBorder="1" applyAlignment="1" applyProtection="1">
      <alignment horizontal="center" vertical="center"/>
      <protection hidden="1"/>
    </xf>
    <xf numFmtId="165" fontId="7" fillId="23" borderId="5" xfId="0" applyNumberFormat="1" applyFont="1" applyFill="1" applyBorder="1" applyAlignment="1" applyProtection="1">
      <alignment horizontal="center" vertical="center"/>
      <protection hidden="1"/>
    </xf>
    <xf numFmtId="1" fontId="7" fillId="23" borderId="1" xfId="0" applyNumberFormat="1" applyFont="1" applyFill="1" applyBorder="1" applyAlignment="1" applyProtection="1">
      <alignment horizontal="center" vertical="center"/>
      <protection hidden="1"/>
    </xf>
    <xf numFmtId="1" fontId="9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5" fontId="10" fillId="11" borderId="8" xfId="4" applyNumberFormat="1" applyFont="1" applyFill="1" applyBorder="1" applyAlignment="1" applyProtection="1">
      <alignment horizontal="center" vertical="center" wrapText="1"/>
      <protection locked="0"/>
    </xf>
    <xf numFmtId="44" fontId="9" fillId="0" borderId="0" xfId="0" applyNumberFormat="1" applyFont="1"/>
    <xf numFmtId="1" fontId="7" fillId="24" borderId="5" xfId="0" applyNumberFormat="1" applyFont="1" applyFill="1" applyBorder="1" applyAlignment="1">
      <alignment horizontal="center" vertical="center"/>
    </xf>
    <xf numFmtId="1" fontId="7" fillId="24" borderId="8" xfId="0" applyNumberFormat="1" applyFont="1" applyFill="1" applyBorder="1" applyAlignment="1">
      <alignment horizontal="center" vertical="center"/>
    </xf>
    <xf numFmtId="0" fontId="10" fillId="24" borderId="28" xfId="0" applyFont="1" applyFill="1" applyBorder="1" applyAlignment="1">
      <alignment horizontal="left" vertical="center"/>
    </xf>
    <xf numFmtId="1" fontId="7" fillId="24" borderId="5" xfId="0" applyNumberFormat="1" applyFont="1" applyFill="1" applyBorder="1" applyAlignment="1" applyProtection="1">
      <alignment horizontal="center" vertical="center"/>
      <protection locked="0"/>
    </xf>
    <xf numFmtId="1" fontId="7" fillId="24" borderId="5" xfId="0" applyNumberFormat="1" applyFont="1" applyFill="1" applyBorder="1" applyAlignment="1" applyProtection="1">
      <alignment horizontal="center" vertical="center"/>
      <protection hidden="1"/>
    </xf>
    <xf numFmtId="165" fontId="7" fillId="24" borderId="5" xfId="0" applyNumberFormat="1" applyFont="1" applyFill="1" applyBorder="1" applyAlignment="1" applyProtection="1">
      <alignment horizontal="center" vertical="center"/>
      <protection hidden="1"/>
    </xf>
    <xf numFmtId="1" fontId="7" fillId="24" borderId="1" xfId="0" applyNumberFormat="1" applyFont="1" applyFill="1" applyBorder="1" applyAlignment="1" applyProtection="1">
      <alignment horizontal="center" vertical="center"/>
      <protection hidden="1"/>
    </xf>
    <xf numFmtId="1" fontId="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1" fontId="10" fillId="4" borderId="5" xfId="9" applyNumberFormat="1" applyFont="1" applyFill="1" applyBorder="1" applyAlignment="1">
      <alignment horizontal="left" vertical="center" wrapText="1"/>
    </xf>
    <xf numFmtId="1" fontId="10" fillId="4" borderId="8" xfId="9" applyNumberFormat="1" applyFont="1" applyFill="1" applyBorder="1" applyAlignment="1">
      <alignment horizontal="left" vertical="center" wrapText="1"/>
    </xf>
    <xf numFmtId="0" fontId="10" fillId="4" borderId="5" xfId="9" applyFont="1" applyFill="1" applyBorder="1" applyAlignment="1">
      <alignment horizontal="left" vertical="center" wrapText="1"/>
    </xf>
    <xf numFmtId="0" fontId="4" fillId="4" borderId="5" xfId="9" applyFont="1" applyFill="1" applyBorder="1" applyAlignment="1" applyProtection="1">
      <alignment horizontal="left" vertical="center" wrapText="1"/>
      <protection hidden="1"/>
    </xf>
    <xf numFmtId="0" fontId="4" fillId="4" borderId="1" xfId="9" applyFont="1" applyFill="1" applyBorder="1" applyAlignment="1" applyProtection="1">
      <alignment horizontal="left" vertical="center" wrapText="1"/>
      <protection hidden="1"/>
    </xf>
    <xf numFmtId="1" fontId="10" fillId="25" borderId="5" xfId="9" applyNumberFormat="1" applyFont="1" applyFill="1" applyBorder="1" applyAlignment="1">
      <alignment horizontal="center" vertical="center" wrapText="1"/>
    </xf>
    <xf numFmtId="1" fontId="10" fillId="25" borderId="8" xfId="9" applyNumberFormat="1" applyFont="1" applyFill="1" applyBorder="1" applyAlignment="1">
      <alignment horizontal="center" vertical="center" wrapText="1"/>
    </xf>
    <xf numFmtId="0" fontId="10" fillId="25" borderId="5" xfId="9" applyFont="1" applyFill="1" applyBorder="1" applyAlignment="1">
      <alignment horizontal="left" vertical="center" wrapText="1"/>
    </xf>
    <xf numFmtId="0" fontId="8" fillId="25" borderId="5" xfId="9" applyFont="1" applyFill="1" applyBorder="1" applyAlignment="1" applyProtection="1">
      <alignment horizontal="left" vertical="center" wrapText="1"/>
      <protection hidden="1"/>
    </xf>
    <xf numFmtId="0" fontId="8" fillId="25" borderId="1" xfId="9" applyFont="1" applyFill="1" applyBorder="1" applyAlignment="1" applyProtection="1">
      <alignment horizontal="left" vertical="center" wrapText="1"/>
      <protection hidden="1"/>
    </xf>
    <xf numFmtId="1" fontId="10" fillId="14" borderId="5" xfId="9" applyNumberFormat="1" applyFont="1" applyFill="1" applyBorder="1" applyAlignment="1">
      <alignment horizontal="center" vertical="center" wrapText="1"/>
    </xf>
    <xf numFmtId="1" fontId="10" fillId="14" borderId="8" xfId="9" applyNumberFormat="1" applyFont="1" applyFill="1" applyBorder="1" applyAlignment="1">
      <alignment horizontal="center" vertical="center" wrapText="1"/>
    </xf>
    <xf numFmtId="0" fontId="10" fillId="14" borderId="5" xfId="9" applyFont="1" applyFill="1" applyBorder="1" applyAlignment="1">
      <alignment horizontal="left" vertical="center" wrapText="1"/>
    </xf>
    <xf numFmtId="0" fontId="8" fillId="14" borderId="5" xfId="9" applyFont="1" applyFill="1" applyBorder="1" applyAlignment="1" applyProtection="1">
      <alignment horizontal="left" vertical="center" wrapText="1"/>
      <protection hidden="1"/>
    </xf>
    <xf numFmtId="0" fontId="8" fillId="14" borderId="1" xfId="9" applyFont="1" applyFill="1" applyBorder="1" applyAlignment="1" applyProtection="1">
      <alignment horizontal="left" vertical="center" wrapText="1"/>
      <protection hidden="1"/>
    </xf>
    <xf numFmtId="1" fontId="10" fillId="26" borderId="5" xfId="9" applyNumberFormat="1" applyFont="1" applyFill="1" applyBorder="1" applyAlignment="1">
      <alignment horizontal="center" vertical="center" wrapText="1"/>
    </xf>
    <xf numFmtId="1" fontId="10" fillId="26" borderId="8" xfId="9" applyNumberFormat="1" applyFont="1" applyFill="1" applyBorder="1" applyAlignment="1">
      <alignment horizontal="center" vertical="center" wrapText="1"/>
    </xf>
    <xf numFmtId="0" fontId="10" fillId="26" borderId="5" xfId="9" applyFont="1" applyFill="1" applyBorder="1" applyAlignment="1">
      <alignment horizontal="left" vertical="center" wrapText="1"/>
    </xf>
    <xf numFmtId="0" fontId="8" fillId="26" borderId="5" xfId="9" applyFont="1" applyFill="1" applyBorder="1" applyAlignment="1" applyProtection="1">
      <alignment horizontal="left" vertical="center" wrapText="1"/>
      <protection hidden="1"/>
    </xf>
    <xf numFmtId="0" fontId="8" fillId="26" borderId="1" xfId="9" applyFont="1" applyFill="1" applyBorder="1" applyAlignment="1" applyProtection="1">
      <alignment horizontal="left" vertical="center" wrapText="1"/>
      <protection hidden="1"/>
    </xf>
    <xf numFmtId="44" fontId="7" fillId="0" borderId="20" xfId="2" applyFont="1" applyFill="1" applyBorder="1" applyAlignment="1" applyProtection="1">
      <alignment vertical="center"/>
      <protection hidden="1"/>
    </xf>
    <xf numFmtId="44" fontId="7" fillId="0" borderId="20" xfId="2" applyFont="1" applyFill="1" applyBorder="1" applyAlignment="1" applyProtection="1">
      <alignment horizontal="center" vertical="center"/>
      <protection hidden="1"/>
    </xf>
    <xf numFmtId="44" fontId="7" fillId="0" borderId="21" xfId="2" applyFont="1" applyFill="1" applyBorder="1" applyAlignment="1" applyProtection="1">
      <alignment vertical="center"/>
      <protection hidden="1"/>
    </xf>
    <xf numFmtId="1" fontId="10" fillId="27" borderId="5" xfId="9" applyNumberFormat="1" applyFont="1" applyFill="1" applyBorder="1" applyAlignment="1">
      <alignment horizontal="center" vertical="center" wrapText="1"/>
    </xf>
    <xf numFmtId="1" fontId="10" fillId="27" borderId="8" xfId="9" applyNumberFormat="1" applyFont="1" applyFill="1" applyBorder="1" applyAlignment="1">
      <alignment horizontal="center" vertical="center" wrapText="1"/>
    </xf>
    <xf numFmtId="0" fontId="10" fillId="27" borderId="5" xfId="9" applyFont="1" applyFill="1" applyBorder="1" applyAlignment="1">
      <alignment horizontal="left" vertical="center" wrapText="1"/>
    </xf>
    <xf numFmtId="0" fontId="8" fillId="27" borderId="5" xfId="9" applyFont="1" applyFill="1" applyBorder="1" applyAlignment="1" applyProtection="1">
      <alignment horizontal="left" vertical="center" wrapText="1"/>
      <protection hidden="1"/>
    </xf>
    <xf numFmtId="0" fontId="8" fillId="27" borderId="1" xfId="9" applyFont="1" applyFill="1" applyBorder="1" applyAlignment="1" applyProtection="1">
      <alignment horizontal="left" vertical="center" wrapText="1"/>
      <protection hidden="1"/>
    </xf>
    <xf numFmtId="0" fontId="10" fillId="28" borderId="5" xfId="10" applyFont="1" applyFill="1" applyBorder="1" applyAlignment="1">
      <alignment horizontal="center" vertical="center"/>
    </xf>
    <xf numFmtId="0" fontId="10" fillId="28" borderId="8" xfId="10" applyFont="1" applyFill="1" applyBorder="1" applyAlignment="1">
      <alignment horizontal="center" vertical="center"/>
    </xf>
    <xf numFmtId="0" fontId="8" fillId="28" borderId="5" xfId="10" applyFont="1" applyFill="1" applyBorder="1" applyAlignment="1">
      <alignment horizontal="left" vertical="center"/>
    </xf>
    <xf numFmtId="0" fontId="4" fillId="28" borderId="5" xfId="10" applyFont="1" applyFill="1" applyBorder="1" applyAlignment="1" applyProtection="1">
      <alignment horizontal="center" vertical="center"/>
      <protection locked="0"/>
    </xf>
    <xf numFmtId="0" fontId="8" fillId="28" borderId="5" xfId="10" applyFont="1" applyFill="1" applyBorder="1" applyAlignment="1" applyProtection="1">
      <alignment horizontal="center" vertical="center"/>
      <protection hidden="1"/>
    </xf>
    <xf numFmtId="0" fontId="8" fillId="28" borderId="1" xfId="10" applyFont="1" applyFill="1" applyBorder="1" applyAlignment="1" applyProtection="1">
      <alignment horizontal="center" vertical="center"/>
      <protection hidden="1"/>
    </xf>
    <xf numFmtId="1" fontId="9" fillId="0" borderId="18" xfId="10" applyNumberFormat="1" applyFont="1" applyBorder="1" applyAlignment="1">
      <alignment horizontal="center" vertical="center"/>
    </xf>
    <xf numFmtId="0" fontId="9" fillId="0" borderId="18" xfId="10" applyFont="1" applyBorder="1" applyAlignment="1">
      <alignment horizontal="left" vertical="center"/>
    </xf>
    <xf numFmtId="1" fontId="9" fillId="0" borderId="20" xfId="10" applyNumberFormat="1" applyFont="1" applyBorder="1" applyAlignment="1">
      <alignment horizontal="center" vertical="center"/>
    </xf>
    <xf numFmtId="0" fontId="9" fillId="0" borderId="20" xfId="10" applyFont="1" applyBorder="1" applyAlignment="1">
      <alignment horizontal="left" vertical="center"/>
    </xf>
    <xf numFmtId="0" fontId="10" fillId="2" borderId="5" xfId="10" applyFont="1" applyFill="1" applyBorder="1" applyAlignment="1" applyProtection="1">
      <alignment horizontal="left" vertical="center"/>
      <protection hidden="1"/>
    </xf>
    <xf numFmtId="0" fontId="10" fillId="2" borderId="1" xfId="10" applyFont="1" applyFill="1" applyBorder="1" applyAlignment="1" applyProtection="1">
      <alignment horizontal="left" vertical="center"/>
      <protection hidden="1"/>
    </xf>
    <xf numFmtId="0" fontId="9" fillId="8" borderId="0" xfId="10" applyFont="1" applyFill="1" applyAlignment="1">
      <alignment horizontal="center" vertical="center"/>
    </xf>
    <xf numFmtId="44" fontId="9" fillId="0" borderId="20" xfId="2" applyFont="1" applyFill="1" applyBorder="1" applyAlignment="1" applyProtection="1">
      <alignment horizontal="center" vertical="center" wrapText="1"/>
      <protection hidden="1"/>
    </xf>
    <xf numFmtId="0" fontId="4" fillId="14" borderId="5" xfId="6" applyFont="1" applyFill="1" applyBorder="1" applyAlignment="1" applyProtection="1">
      <alignment horizontal="center" vertical="center"/>
      <protection hidden="1"/>
    </xf>
    <xf numFmtId="0" fontId="4" fillId="14" borderId="1" xfId="6" applyFont="1" applyFill="1" applyBorder="1" applyAlignment="1" applyProtection="1">
      <alignment horizontal="center" vertical="center"/>
      <protection hidden="1"/>
    </xf>
    <xf numFmtId="49" fontId="8" fillId="29" borderId="29" xfId="0" applyNumberFormat="1" applyFont="1" applyFill="1" applyBorder="1" applyAlignment="1">
      <alignment horizontal="center" vertical="center"/>
    </xf>
    <xf numFmtId="1" fontId="22" fillId="29" borderId="30" xfId="0" applyNumberFormat="1" applyFont="1" applyFill="1" applyBorder="1" applyAlignment="1">
      <alignment horizontal="center"/>
    </xf>
    <xf numFmtId="1" fontId="7" fillId="5" borderId="33" xfId="0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/>
    </xf>
    <xf numFmtId="49" fontId="7" fillId="5" borderId="34" xfId="0" applyNumberFormat="1" applyFont="1" applyFill="1" applyBorder="1" applyProtection="1">
      <protection hidden="1"/>
    </xf>
    <xf numFmtId="0" fontId="23" fillId="5" borderId="35" xfId="0" applyFont="1" applyFill="1" applyBorder="1" applyProtection="1">
      <protection hidden="1"/>
    </xf>
    <xf numFmtId="44" fontId="9" fillId="5" borderId="34" xfId="2" applyFont="1" applyFill="1" applyBorder="1" applyAlignment="1" applyProtection="1">
      <alignment horizontal="left" vertical="center"/>
      <protection hidden="1"/>
    </xf>
    <xf numFmtId="44" fontId="9" fillId="5" borderId="34" xfId="2" applyFont="1" applyFill="1" applyBorder="1" applyAlignment="1" applyProtection="1">
      <alignment horizontal="center" vertical="center" wrapText="1"/>
      <protection hidden="1"/>
    </xf>
    <xf numFmtId="49" fontId="7" fillId="5" borderId="33" xfId="0" applyNumberFormat="1" applyFont="1" applyFill="1" applyBorder="1" applyAlignment="1">
      <alignment horizontal="center" vertical="center" wrapText="1"/>
    </xf>
    <xf numFmtId="0" fontId="8" fillId="29" borderId="31" xfId="0" quotePrefix="1" applyFont="1" applyFill="1" applyBorder="1" applyAlignment="1">
      <alignment horizontal="center" vertical="center" wrapText="1"/>
    </xf>
    <xf numFmtId="1" fontId="9" fillId="30" borderId="5" xfId="7" applyNumberFormat="1" applyFont="1" applyFill="1" applyBorder="1" applyAlignment="1">
      <alignment horizontal="center" vertical="center"/>
    </xf>
    <xf numFmtId="1" fontId="9" fillId="30" borderId="8" xfId="7" applyNumberFormat="1" applyFont="1" applyFill="1" applyBorder="1" applyAlignment="1">
      <alignment horizontal="center" vertical="center"/>
    </xf>
    <xf numFmtId="0" fontId="10" fillId="30" borderId="5" xfId="6" applyFont="1" applyFill="1" applyBorder="1" applyAlignment="1">
      <alignment horizontal="left" vertical="center"/>
    </xf>
    <xf numFmtId="0" fontId="10" fillId="30" borderId="5" xfId="7" applyFont="1" applyFill="1" applyBorder="1" applyAlignment="1" applyProtection="1">
      <alignment vertical="center"/>
      <protection hidden="1"/>
    </xf>
    <xf numFmtId="0" fontId="9" fillId="30" borderId="5" xfId="7" applyFont="1" applyFill="1" applyBorder="1" applyAlignment="1" applyProtection="1">
      <alignment vertical="center"/>
      <protection hidden="1"/>
    </xf>
    <xf numFmtId="0" fontId="10" fillId="11" borderId="18" xfId="4" applyFont="1" applyFill="1" applyBorder="1" applyAlignment="1" applyProtection="1">
      <alignment horizontal="center" vertical="center" wrapText="1"/>
      <protection hidden="1"/>
    </xf>
    <xf numFmtId="0" fontId="9" fillId="0" borderId="0" xfId="6" applyFont="1" applyAlignment="1">
      <alignment horizontal="center" vertical="center"/>
    </xf>
    <xf numFmtId="0" fontId="6" fillId="4" borderId="3" xfId="4" applyFont="1" applyFill="1" applyBorder="1" applyAlignment="1" applyProtection="1">
      <alignment vertical="center"/>
      <protection locked="0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" fontId="9" fillId="8" borderId="20" xfId="10" applyNumberFormat="1" applyFont="1" applyFill="1" applyBorder="1" applyAlignment="1">
      <alignment horizontal="center" vertical="center"/>
    </xf>
    <xf numFmtId="0" fontId="9" fillId="8" borderId="20" xfId="10" applyFont="1" applyFill="1" applyBorder="1" applyAlignment="1">
      <alignment horizontal="left" vertical="center"/>
    </xf>
    <xf numFmtId="1" fontId="4" fillId="11" borderId="18" xfId="4" applyNumberFormat="1" applyFont="1" applyFill="1" applyBorder="1" applyAlignment="1" applyProtection="1">
      <alignment horizontal="center" vertical="center" wrapText="1"/>
      <protection locked="0"/>
    </xf>
    <xf numFmtId="1" fontId="10" fillId="11" borderId="20" xfId="4" applyNumberFormat="1" applyFont="1" applyFill="1" applyBorder="1" applyAlignment="1" applyProtection="1">
      <alignment horizontal="center" vertical="center" wrapText="1"/>
      <protection locked="0"/>
    </xf>
    <xf numFmtId="1" fontId="10" fillId="11" borderId="22" xfId="4" applyNumberFormat="1" applyFont="1" applyFill="1" applyBorder="1" applyAlignment="1" applyProtection="1">
      <alignment horizontal="center" vertical="center" wrapText="1"/>
      <protection locked="0"/>
    </xf>
    <xf numFmtId="1" fontId="10" fillId="10" borderId="5" xfId="7" applyNumberFormat="1" applyFont="1" applyFill="1" applyBorder="1" applyAlignment="1" applyProtection="1">
      <alignment vertical="center"/>
      <protection locked="0"/>
    </xf>
    <xf numFmtId="1" fontId="10" fillId="11" borderId="18" xfId="4" applyNumberFormat="1" applyFont="1" applyFill="1" applyBorder="1" applyAlignment="1" applyProtection="1">
      <alignment horizontal="center" vertical="center" wrapText="1"/>
      <protection locked="0"/>
    </xf>
    <xf numFmtId="14" fontId="6" fillId="4" borderId="5" xfId="4" applyNumberFormat="1" applyFont="1" applyFill="1" applyBorder="1" applyAlignment="1" applyProtection="1">
      <alignment vertical="center"/>
      <protection locked="0"/>
    </xf>
    <xf numFmtId="49" fontId="9" fillId="0" borderId="20" xfId="0" applyNumberFormat="1" applyFont="1" applyBorder="1" applyAlignment="1">
      <alignment wrapText="1"/>
    </xf>
    <xf numFmtId="0" fontId="3" fillId="2" borderId="1" xfId="4" applyFont="1" applyFill="1" applyBorder="1" applyAlignment="1">
      <alignment horizontal="centerContinuous" vertical="center"/>
    </xf>
    <xf numFmtId="0" fontId="3" fillId="2" borderId="2" xfId="4" applyFont="1" applyFill="1" applyBorder="1" applyAlignment="1">
      <alignment horizontal="centerContinuous" vertical="center"/>
    </xf>
    <xf numFmtId="0" fontId="3" fillId="2" borderId="3" xfId="4" applyFont="1" applyFill="1" applyBorder="1" applyAlignment="1">
      <alignment horizontal="centerContinuous" vertical="center"/>
    </xf>
    <xf numFmtId="0" fontId="7" fillId="14" borderId="31" xfId="0" applyFont="1" applyFill="1" applyBorder="1" applyAlignment="1" applyProtection="1">
      <alignment horizontal="center" vertical="center"/>
      <protection hidden="1"/>
    </xf>
    <xf numFmtId="44" fontId="16" fillId="5" borderId="0" xfId="0" applyNumberFormat="1" applyFont="1" applyFill="1"/>
    <xf numFmtId="1" fontId="8" fillId="15" borderId="5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0" fontId="8" fillId="15" borderId="28" xfId="0" applyFont="1" applyFill="1" applyBorder="1" applyAlignment="1">
      <alignment horizontal="left" vertical="center"/>
    </xf>
    <xf numFmtId="165" fontId="8" fillId="15" borderId="5" xfId="0" applyNumberFormat="1" applyFont="1" applyFill="1" applyBorder="1" applyAlignment="1" applyProtection="1">
      <alignment horizontal="center" vertical="center"/>
      <protection hidden="1"/>
    </xf>
    <xf numFmtId="1" fontId="8" fillId="15" borderId="5" xfId="0" applyNumberFormat="1" applyFont="1" applyFill="1" applyBorder="1" applyAlignment="1" applyProtection="1">
      <alignment horizontal="center" vertical="center"/>
      <protection hidden="1"/>
    </xf>
    <xf numFmtId="1" fontId="4" fillId="14" borderId="8" xfId="6" applyNumberFormat="1" applyFont="1" applyFill="1" applyBorder="1" applyAlignment="1" applyProtection="1">
      <alignment horizontal="center" vertical="center"/>
      <protection hidden="1"/>
    </xf>
    <xf numFmtId="0" fontId="4" fillId="14" borderId="8" xfId="6" applyFont="1" applyFill="1" applyBorder="1" applyAlignment="1">
      <alignment horizontal="center" vertical="center"/>
    </xf>
    <xf numFmtId="0" fontId="4" fillId="14" borderId="8" xfId="6" applyFont="1" applyFill="1" applyBorder="1" applyAlignment="1" applyProtection="1">
      <alignment horizontal="center" vertical="center"/>
      <protection hidden="1"/>
    </xf>
    <xf numFmtId="0" fontId="4" fillId="14" borderId="12" xfId="6" applyFont="1" applyFill="1" applyBorder="1" applyAlignment="1" applyProtection="1">
      <alignment horizontal="center" vertical="center"/>
      <protection hidden="1"/>
    </xf>
    <xf numFmtId="1" fontId="8" fillId="28" borderId="31" xfId="0" applyNumberFormat="1" applyFont="1" applyFill="1" applyBorder="1" applyAlignment="1" applyProtection="1">
      <alignment horizontal="center" vertical="center"/>
      <protection hidden="1"/>
    </xf>
    <xf numFmtId="0" fontId="8" fillId="15" borderId="5" xfId="9" applyFont="1" applyFill="1" applyBorder="1" applyAlignment="1">
      <alignment vertical="center" wrapText="1"/>
    </xf>
    <xf numFmtId="49" fontId="8" fillId="2" borderId="37" xfId="0" applyNumberFormat="1" applyFont="1" applyFill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1" fontId="22" fillId="2" borderId="30" xfId="0" applyNumberFormat="1" applyFont="1" applyFill="1" applyBorder="1" applyAlignment="1">
      <alignment horizontal="center"/>
    </xf>
    <xf numFmtId="0" fontId="8" fillId="2" borderId="33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44" fontId="4" fillId="2" borderId="33" xfId="0" applyNumberFormat="1" applyFont="1" applyFill="1" applyBorder="1" applyAlignment="1" applyProtection="1">
      <alignment vertical="center"/>
      <protection hidden="1"/>
    </xf>
    <xf numFmtId="1" fontId="7" fillId="2" borderId="31" xfId="0" applyNumberFormat="1" applyFont="1" applyFill="1" applyBorder="1" applyAlignment="1" applyProtection="1">
      <alignment horizontal="center" vertical="center"/>
      <protection hidden="1"/>
    </xf>
    <xf numFmtId="1" fontId="7" fillId="2" borderId="33" xfId="0" applyNumberFormat="1" applyFont="1" applyFill="1" applyBorder="1" applyAlignment="1" applyProtection="1">
      <alignment horizontal="center" vertical="center"/>
      <protection hidden="1"/>
    </xf>
    <xf numFmtId="44" fontId="19" fillId="2" borderId="34" xfId="0" applyNumberFormat="1" applyFont="1" applyFill="1" applyBorder="1" applyAlignment="1" applyProtection="1">
      <alignment vertical="center"/>
      <protection hidden="1"/>
    </xf>
    <xf numFmtId="44" fontId="4" fillId="2" borderId="34" xfId="0" applyNumberFormat="1" applyFont="1" applyFill="1" applyBorder="1" applyAlignment="1" applyProtection="1">
      <alignment vertical="center"/>
      <protection hidden="1"/>
    </xf>
    <xf numFmtId="44" fontId="4" fillId="2" borderId="34" xfId="0" applyNumberFormat="1" applyFont="1" applyFill="1" applyBorder="1" applyAlignment="1" applyProtection="1">
      <alignment horizontal="center" vertical="center"/>
      <protection hidden="1"/>
    </xf>
    <xf numFmtId="44" fontId="4" fillId="2" borderId="35" xfId="0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1" fontId="24" fillId="32" borderId="40" xfId="0" applyNumberFormat="1" applyFont="1" applyFill="1" applyBorder="1" applyAlignment="1">
      <alignment horizontal="center" vertical="center"/>
    </xf>
    <xf numFmtId="1" fontId="24" fillId="32" borderId="41" xfId="0" applyNumberFormat="1" applyFont="1" applyFill="1" applyBorder="1" applyAlignment="1">
      <alignment horizontal="center" vertical="center"/>
    </xf>
    <xf numFmtId="0" fontId="24" fillId="32" borderId="40" xfId="0" applyFont="1" applyFill="1" applyBorder="1" applyAlignment="1">
      <alignment horizontal="left" vertical="center"/>
    </xf>
    <xf numFmtId="1" fontId="25" fillId="0" borderId="42" xfId="0" applyNumberFormat="1" applyFont="1" applyBorder="1" applyAlignment="1">
      <alignment horizontal="center" vertical="center"/>
    </xf>
    <xf numFmtId="0" fontId="26" fillId="33" borderId="41" xfId="0" applyFont="1" applyFill="1" applyBorder="1" applyAlignment="1">
      <alignment vertical="center"/>
    </xf>
    <xf numFmtId="0" fontId="25" fillId="0" borderId="42" xfId="0" applyFont="1" applyBorder="1" applyAlignment="1">
      <alignment vertical="center"/>
    </xf>
    <xf numFmtId="1" fontId="10" fillId="31" borderId="5" xfId="2" applyNumberFormat="1" applyFont="1" applyFill="1" applyBorder="1" applyAlignment="1" applyProtection="1">
      <alignment horizontal="center" vertical="center" wrapText="1"/>
      <protection locked="0"/>
    </xf>
    <xf numFmtId="1" fontId="25" fillId="0" borderId="46" xfId="0" applyNumberFormat="1" applyFont="1" applyBorder="1" applyAlignment="1">
      <alignment horizontal="center"/>
    </xf>
    <xf numFmtId="49" fontId="25" fillId="0" borderId="46" xfId="0" applyNumberFormat="1" applyFont="1" applyBorder="1"/>
    <xf numFmtId="165" fontId="4" fillId="11" borderId="20" xfId="4" applyNumberFormat="1" applyFont="1" applyFill="1" applyBorder="1" applyAlignment="1" applyProtection="1">
      <alignment horizontal="center" vertical="center" wrapText="1"/>
      <protection locked="0"/>
    </xf>
    <xf numFmtId="1" fontId="25" fillId="0" borderId="47" xfId="0" applyNumberFormat="1" applyFont="1" applyBorder="1" applyAlignment="1">
      <alignment horizontal="center"/>
    </xf>
    <xf numFmtId="49" fontId="25" fillId="0" borderId="47" xfId="0" applyNumberFormat="1" applyFont="1" applyBorder="1"/>
    <xf numFmtId="1" fontId="24" fillId="34" borderId="40" xfId="0" applyNumberFormat="1" applyFont="1" applyFill="1" applyBorder="1" applyAlignment="1">
      <alignment horizontal="left" vertical="center"/>
    </xf>
    <xf numFmtId="1" fontId="24" fillId="34" borderId="41" xfId="0" applyNumberFormat="1" applyFont="1" applyFill="1" applyBorder="1" applyAlignment="1">
      <alignment horizontal="left" vertical="center"/>
    </xf>
    <xf numFmtId="0" fontId="26" fillId="34" borderId="40" xfId="0" applyFont="1" applyFill="1" applyBorder="1" applyAlignment="1">
      <alignment horizontal="left" vertical="center"/>
    </xf>
    <xf numFmtId="1" fontId="25" fillId="35" borderId="48" xfId="0" applyNumberFormat="1" applyFont="1" applyFill="1" applyBorder="1" applyAlignment="1">
      <alignment horizontal="center" vertical="center"/>
    </xf>
    <xf numFmtId="0" fontId="25" fillId="35" borderId="48" xfId="0" applyFont="1" applyFill="1" applyBorder="1" applyAlignment="1">
      <alignment horizontal="left" vertical="center"/>
    </xf>
    <xf numFmtId="1" fontId="25" fillId="0" borderId="46" xfId="0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left" vertical="center"/>
    </xf>
    <xf numFmtId="1" fontId="25" fillId="0" borderId="49" xfId="0" applyNumberFormat="1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1" fontId="25" fillId="34" borderId="40" xfId="0" applyNumberFormat="1" applyFont="1" applyFill="1" applyBorder="1" applyAlignment="1">
      <alignment horizontal="left" vertical="center"/>
    </xf>
    <xf numFmtId="1" fontId="25" fillId="34" borderId="41" xfId="0" applyNumberFormat="1" applyFont="1" applyFill="1" applyBorder="1" applyAlignment="1">
      <alignment horizontal="left" vertical="center"/>
    </xf>
    <xf numFmtId="1" fontId="25" fillId="35" borderId="46" xfId="0" applyNumberFormat="1" applyFont="1" applyFill="1" applyBorder="1" applyAlignment="1">
      <alignment horizontal="center" vertical="center"/>
    </xf>
    <xf numFmtId="0" fontId="25" fillId="35" borderId="46" xfId="0" applyFont="1" applyFill="1" applyBorder="1" applyAlignment="1">
      <alignment horizontal="left" vertical="center"/>
    </xf>
    <xf numFmtId="1" fontId="25" fillId="0" borderId="47" xfId="0" applyNumberFormat="1" applyFont="1" applyBorder="1" applyAlignment="1">
      <alignment horizontal="center" vertical="center"/>
    </xf>
    <xf numFmtId="0" fontId="25" fillId="0" borderId="47" xfId="0" applyFont="1" applyBorder="1" applyAlignment="1">
      <alignment horizontal="left" vertical="center"/>
    </xf>
    <xf numFmtId="1" fontId="25" fillId="35" borderId="47" xfId="0" applyNumberFormat="1" applyFont="1" applyFill="1" applyBorder="1" applyAlignment="1">
      <alignment horizontal="center" vertical="center"/>
    </xf>
    <xf numFmtId="0" fontId="25" fillId="35" borderId="47" xfId="0" applyFont="1" applyFill="1" applyBorder="1" applyAlignment="1">
      <alignment horizontal="left" vertical="center"/>
    </xf>
    <xf numFmtId="0" fontId="8" fillId="2" borderId="24" xfId="10" applyFont="1" applyFill="1" applyBorder="1" applyAlignment="1">
      <alignment horizontal="left" vertical="center"/>
    </xf>
    <xf numFmtId="49" fontId="25" fillId="0" borderId="49" xfId="0" applyNumberFormat="1" applyFont="1" applyBorder="1"/>
    <xf numFmtId="1" fontId="25" fillId="0" borderId="49" xfId="0" applyNumberFormat="1" applyFont="1" applyBorder="1" applyAlignment="1">
      <alignment horizontal="center"/>
    </xf>
    <xf numFmtId="49" fontId="25" fillId="36" borderId="49" xfId="0" applyNumberFormat="1" applyFont="1" applyFill="1" applyBorder="1"/>
    <xf numFmtId="1" fontId="25" fillId="35" borderId="46" xfId="0" applyNumberFormat="1" applyFont="1" applyFill="1" applyBorder="1" applyAlignment="1">
      <alignment horizontal="center"/>
    </xf>
    <xf numFmtId="49" fontId="25" fillId="35" borderId="46" xfId="0" applyNumberFormat="1" applyFont="1" applyFill="1" applyBorder="1"/>
    <xf numFmtId="49" fontId="25" fillId="37" borderId="46" xfId="0" applyNumberFormat="1" applyFont="1" applyFill="1" applyBorder="1"/>
    <xf numFmtId="1" fontId="25" fillId="38" borderId="40" xfId="0" applyNumberFormat="1" applyFont="1" applyFill="1" applyBorder="1" applyAlignment="1">
      <alignment horizontal="center" vertical="center"/>
    </xf>
    <xf numFmtId="1" fontId="25" fillId="38" borderId="41" xfId="0" applyNumberFormat="1" applyFont="1" applyFill="1" applyBorder="1" applyAlignment="1">
      <alignment horizontal="center" vertical="center"/>
    </xf>
    <xf numFmtId="0" fontId="26" fillId="38" borderId="40" xfId="0" applyFont="1" applyFill="1" applyBorder="1" applyAlignment="1">
      <alignment horizontal="left" vertical="center"/>
    </xf>
    <xf numFmtId="1" fontId="25" fillId="39" borderId="40" xfId="0" applyNumberFormat="1" applyFont="1" applyFill="1" applyBorder="1" applyAlignment="1">
      <alignment horizontal="left" vertical="center"/>
    </xf>
    <xf numFmtId="1" fontId="25" fillId="39" borderId="41" xfId="0" applyNumberFormat="1" applyFont="1" applyFill="1" applyBorder="1" applyAlignment="1">
      <alignment horizontal="left" vertical="center"/>
    </xf>
    <xf numFmtId="0" fontId="26" fillId="39" borderId="40" xfId="0" applyFont="1" applyFill="1" applyBorder="1" applyAlignment="1">
      <alignment horizontal="left" vertical="center"/>
    </xf>
    <xf numFmtId="44" fontId="4" fillId="14" borderId="32" xfId="2" applyFont="1" applyFill="1" applyBorder="1" applyAlignment="1" applyProtection="1">
      <alignment horizontal="center" vertical="center"/>
      <protection hidden="1"/>
    </xf>
    <xf numFmtId="1" fontId="4" fillId="14" borderId="32" xfId="2" applyNumberFormat="1" applyFont="1" applyFill="1" applyBorder="1" applyAlignment="1" applyProtection="1">
      <alignment horizontal="center" vertical="center"/>
      <protection hidden="1"/>
    </xf>
    <xf numFmtId="1" fontId="8" fillId="28" borderId="50" xfId="0" applyNumberFormat="1" applyFont="1" applyFill="1" applyBorder="1" applyAlignment="1" applyProtection="1">
      <alignment horizontal="center" vertical="center"/>
      <protection hidden="1"/>
    </xf>
    <xf numFmtId="44" fontId="9" fillId="5" borderId="51" xfId="2" applyFont="1" applyFill="1" applyBorder="1" applyAlignment="1" applyProtection="1">
      <alignment vertical="center"/>
      <protection hidden="1"/>
    </xf>
    <xf numFmtId="44" fontId="9" fillId="5" borderId="51" xfId="2" applyFont="1" applyFill="1" applyBorder="1" applyAlignment="1" applyProtection="1">
      <alignment horizontal="center" vertical="center"/>
      <protection hidden="1"/>
    </xf>
    <xf numFmtId="44" fontId="9" fillId="5" borderId="38" xfId="2" applyFont="1" applyFill="1" applyBorder="1" applyAlignment="1" applyProtection="1">
      <alignment vertical="center"/>
      <protection hidden="1"/>
    </xf>
    <xf numFmtId="0" fontId="8" fillId="3" borderId="0" xfId="4" applyFont="1" applyFill="1" applyAlignment="1">
      <alignment vertical="center"/>
    </xf>
    <xf numFmtId="49" fontId="7" fillId="5" borderId="31" xfId="0" quotePrefix="1" applyNumberFormat="1" applyFont="1" applyFill="1" applyBorder="1" applyAlignment="1">
      <alignment horizontal="center" vertical="center" wrapText="1"/>
    </xf>
    <xf numFmtId="168" fontId="4" fillId="14" borderId="32" xfId="2" applyNumberFormat="1" applyFont="1" applyFill="1" applyBorder="1" applyAlignment="1" applyProtection="1">
      <alignment horizontal="center" vertical="center"/>
      <protection hidden="1"/>
    </xf>
    <xf numFmtId="49" fontId="7" fillId="5" borderId="31" xfId="0" applyNumberFormat="1" applyFont="1" applyFill="1" applyBorder="1" applyAlignment="1">
      <alignment horizontal="center" vertical="center" wrapText="1"/>
    </xf>
    <xf numFmtId="44" fontId="7" fillId="5" borderId="36" xfId="2" applyFont="1" applyFill="1" applyBorder="1" applyProtection="1">
      <protection hidden="1"/>
    </xf>
    <xf numFmtId="1" fontId="4" fillId="31" borderId="33" xfId="4" applyNumberFormat="1" applyFont="1" applyFill="1" applyBorder="1" applyAlignment="1" applyProtection="1">
      <alignment horizontal="center" vertical="center" wrapText="1"/>
      <protection locked="0"/>
    </xf>
    <xf numFmtId="44" fontId="9" fillId="5" borderId="33" xfId="2" applyFont="1" applyFill="1" applyBorder="1" applyAlignment="1" applyProtection="1">
      <alignment horizontal="center" vertical="center" wrapText="1"/>
      <protection hidden="1"/>
    </xf>
    <xf numFmtId="44" fontId="9" fillId="5" borderId="33" xfId="2" applyFont="1" applyFill="1" applyBorder="1" applyAlignment="1" applyProtection="1">
      <alignment horizontal="center" vertical="center"/>
      <protection hidden="1"/>
    </xf>
    <xf numFmtId="44" fontId="9" fillId="5" borderId="33" xfId="2" applyFont="1" applyFill="1" applyBorder="1" applyAlignment="1" applyProtection="1">
      <alignment vertical="center"/>
      <protection hidden="1"/>
    </xf>
    <xf numFmtId="165" fontId="10" fillId="30" borderId="5" xfId="7" applyNumberFormat="1" applyFont="1" applyFill="1" applyBorder="1" applyAlignment="1" applyProtection="1">
      <alignment vertical="center"/>
      <protection locked="0"/>
    </xf>
    <xf numFmtId="0" fontId="24" fillId="34" borderId="40" xfId="0" applyFont="1" applyFill="1" applyBorder="1" applyAlignment="1" applyProtection="1">
      <alignment horizontal="left" vertical="center"/>
      <protection locked="0"/>
    </xf>
    <xf numFmtId="0" fontId="24" fillId="39" borderId="40" xfId="0" applyFont="1" applyFill="1" applyBorder="1" applyAlignment="1" applyProtection="1">
      <alignment horizontal="left" vertical="center"/>
      <protection locked="0"/>
    </xf>
    <xf numFmtId="0" fontId="10" fillId="14" borderId="5" xfId="6" applyFont="1" applyFill="1" applyBorder="1" applyAlignment="1" applyProtection="1">
      <alignment horizontal="center" vertical="center"/>
      <protection locked="0"/>
    </xf>
    <xf numFmtId="0" fontId="24" fillId="34" borderId="40" xfId="0" applyFont="1" applyFill="1" applyBorder="1" applyAlignment="1" applyProtection="1">
      <alignment horizontal="left" vertical="center"/>
      <protection hidden="1"/>
    </xf>
    <xf numFmtId="0" fontId="24" fillId="39" borderId="40" xfId="0" applyFont="1" applyFill="1" applyBorder="1" applyAlignment="1" applyProtection="1">
      <alignment horizontal="left" vertical="center"/>
      <protection hidden="1"/>
    </xf>
    <xf numFmtId="0" fontId="10" fillId="14" borderId="5" xfId="6" applyFont="1" applyFill="1" applyBorder="1" applyAlignment="1" applyProtection="1">
      <alignment horizontal="center" vertical="center"/>
      <protection hidden="1"/>
    </xf>
    <xf numFmtId="0" fontId="23" fillId="5" borderId="34" xfId="0" applyFont="1" applyFill="1" applyBorder="1" applyProtection="1">
      <protection hidden="1"/>
    </xf>
    <xf numFmtId="0" fontId="10" fillId="30" borderId="5" xfId="7" applyFont="1" applyFill="1" applyBorder="1" applyAlignment="1" applyProtection="1">
      <alignment vertical="center"/>
      <protection locked="0"/>
    </xf>
    <xf numFmtId="0" fontId="25" fillId="38" borderId="40" xfId="0" applyFont="1" applyFill="1" applyBorder="1" applyAlignment="1" applyProtection="1">
      <alignment horizontal="center" vertical="center"/>
      <protection locked="0"/>
    </xf>
    <xf numFmtId="0" fontId="4" fillId="13" borderId="5" xfId="7" applyFont="1" applyFill="1" applyBorder="1" applyAlignment="1" applyProtection="1">
      <alignment vertical="center"/>
      <protection locked="0"/>
    </xf>
    <xf numFmtId="0" fontId="24" fillId="32" borderId="40" xfId="0" applyFont="1" applyFill="1" applyBorder="1" applyAlignment="1" applyProtection="1">
      <alignment horizontal="center" vertical="center"/>
      <protection locked="0"/>
    </xf>
    <xf numFmtId="0" fontId="4" fillId="11" borderId="25" xfId="4" applyFont="1" applyFill="1" applyBorder="1" applyAlignment="1" applyProtection="1">
      <alignment horizontal="center" vertical="center" wrapText="1"/>
      <protection locked="0"/>
    </xf>
    <xf numFmtId="164" fontId="4" fillId="6" borderId="5" xfId="8" applyFont="1" applyFill="1" applyBorder="1" applyAlignment="1" applyProtection="1">
      <alignment vertical="center"/>
      <protection locked="0"/>
    </xf>
    <xf numFmtId="0" fontId="4" fillId="11" borderId="26" xfId="4" applyFont="1" applyFill="1" applyBorder="1" applyAlignment="1" applyProtection="1">
      <alignment horizontal="center" vertical="center" wrapText="1"/>
      <protection locked="0"/>
    </xf>
    <xf numFmtId="0" fontId="4" fillId="14" borderId="5" xfId="7" applyFont="1" applyFill="1" applyBorder="1" applyAlignment="1" applyProtection="1">
      <alignment vertical="center"/>
      <protection locked="0"/>
    </xf>
    <xf numFmtId="0" fontId="4" fillId="10" borderId="5" xfId="6" applyFont="1" applyFill="1" applyBorder="1" applyAlignment="1" applyProtection="1">
      <alignment horizontal="center" vertical="center"/>
      <protection locked="0"/>
    </xf>
    <xf numFmtId="0" fontId="4" fillId="15" borderId="5" xfId="9" applyFont="1" applyFill="1" applyBorder="1" applyAlignment="1" applyProtection="1">
      <alignment vertical="center" wrapText="1"/>
      <protection locked="0"/>
    </xf>
    <xf numFmtId="0" fontId="4" fillId="16" borderId="5" xfId="9" applyFont="1" applyFill="1" applyBorder="1" applyAlignment="1" applyProtection="1">
      <alignment vertical="center" wrapText="1"/>
      <protection locked="0"/>
    </xf>
    <xf numFmtId="0" fontId="4" fillId="17" borderId="5" xfId="9" applyFont="1" applyFill="1" applyBorder="1" applyAlignment="1" applyProtection="1">
      <alignment vertical="center" wrapText="1"/>
      <protection locked="0"/>
    </xf>
    <xf numFmtId="0" fontId="4" fillId="18" borderId="5" xfId="9" applyFont="1" applyFill="1" applyBorder="1" applyAlignment="1" applyProtection="1">
      <alignment vertical="center" wrapText="1"/>
      <protection locked="0"/>
    </xf>
    <xf numFmtId="0" fontId="4" fillId="19" borderId="5" xfId="9" applyFont="1" applyFill="1" applyBorder="1" applyAlignment="1" applyProtection="1">
      <alignment vertical="center" wrapText="1"/>
      <protection locked="0"/>
    </xf>
    <xf numFmtId="0" fontId="4" fillId="20" borderId="5" xfId="9" applyFont="1" applyFill="1" applyBorder="1" applyAlignment="1" applyProtection="1">
      <alignment horizontal="left" vertical="center" wrapText="1"/>
      <protection locked="0"/>
    </xf>
    <xf numFmtId="0" fontId="4" fillId="11" borderId="8" xfId="4" applyFont="1" applyFill="1" applyBorder="1" applyAlignment="1" applyProtection="1">
      <alignment horizontal="center" vertical="center" wrapText="1"/>
      <protection locked="0"/>
    </xf>
    <xf numFmtId="0" fontId="4" fillId="21" borderId="5" xfId="9" applyFont="1" applyFill="1" applyBorder="1" applyAlignment="1" applyProtection="1">
      <alignment horizontal="left" vertical="center" wrapText="1"/>
      <protection locked="0"/>
    </xf>
    <xf numFmtId="1" fontId="8" fillId="15" borderId="5" xfId="0" applyNumberFormat="1" applyFont="1" applyFill="1" applyBorder="1" applyAlignment="1" applyProtection="1">
      <alignment horizontal="center" vertical="center"/>
      <protection locked="0"/>
    </xf>
    <xf numFmtId="0" fontId="4" fillId="4" borderId="5" xfId="9" applyFont="1" applyFill="1" applyBorder="1" applyAlignment="1" applyProtection="1">
      <alignment horizontal="left" vertical="center" wrapText="1"/>
      <protection locked="0"/>
    </xf>
    <xf numFmtId="0" fontId="4" fillId="25" borderId="5" xfId="9" applyFont="1" applyFill="1" applyBorder="1" applyAlignment="1" applyProtection="1">
      <alignment horizontal="left" vertical="center" wrapText="1"/>
      <protection locked="0"/>
    </xf>
    <xf numFmtId="0" fontId="4" fillId="14" borderId="5" xfId="9" applyFont="1" applyFill="1" applyBorder="1" applyAlignment="1" applyProtection="1">
      <alignment horizontal="left" vertical="center" wrapText="1"/>
      <protection locked="0"/>
    </xf>
    <xf numFmtId="0" fontId="4" fillId="26" borderId="5" xfId="9" applyFont="1" applyFill="1" applyBorder="1" applyAlignment="1" applyProtection="1">
      <alignment horizontal="left" vertical="center" wrapText="1"/>
      <protection locked="0"/>
    </xf>
    <xf numFmtId="0" fontId="4" fillId="27" borderId="5" xfId="9" applyFont="1" applyFill="1" applyBorder="1" applyAlignment="1" applyProtection="1">
      <alignment horizontal="left" vertical="center" wrapText="1"/>
      <protection locked="0"/>
    </xf>
    <xf numFmtId="0" fontId="4" fillId="2" borderId="5" xfId="10" applyFont="1" applyFill="1" applyBorder="1" applyAlignment="1" applyProtection="1">
      <alignment horizontal="left" vertical="center"/>
      <protection locked="0"/>
    </xf>
    <xf numFmtId="0" fontId="4" fillId="14" borderId="5" xfId="6" applyFont="1" applyFill="1" applyBorder="1" applyAlignment="1" applyProtection="1">
      <alignment horizontal="center" vertical="center"/>
      <protection locked="0"/>
    </xf>
    <xf numFmtId="0" fontId="4" fillId="14" borderId="8" xfId="6" applyFont="1" applyFill="1" applyBorder="1" applyAlignment="1" applyProtection="1">
      <alignment horizontal="center" vertical="center"/>
      <protection locked="0"/>
    </xf>
    <xf numFmtId="1" fontId="4" fillId="11" borderId="18" xfId="4" applyNumberFormat="1" applyFont="1" applyFill="1" applyBorder="1" applyAlignment="1" applyProtection="1">
      <alignment horizontal="center" vertical="center" wrapText="1"/>
      <protection hidden="1"/>
    </xf>
    <xf numFmtId="44" fontId="7" fillId="5" borderId="36" xfId="2" applyFont="1" applyFill="1" applyBorder="1" applyAlignment="1" applyProtection="1">
      <alignment horizontal="center" vertical="center"/>
      <protection hidden="1"/>
    </xf>
    <xf numFmtId="44" fontId="29" fillId="14" borderId="31" xfId="0" applyNumberFormat="1" applyFont="1" applyFill="1" applyBorder="1" applyAlignment="1" applyProtection="1">
      <alignment horizontal="center" vertical="center"/>
      <protection hidden="1"/>
    </xf>
    <xf numFmtId="167" fontId="25" fillId="38" borderId="40" xfId="0" applyNumberFormat="1" applyFont="1" applyFill="1" applyBorder="1" applyAlignment="1" applyProtection="1">
      <alignment horizontal="center" vertical="center"/>
      <protection locked="0"/>
    </xf>
    <xf numFmtId="1" fontId="10" fillId="13" borderId="5" xfId="7" applyNumberFormat="1" applyFont="1" applyFill="1" applyBorder="1" applyAlignment="1" applyProtection="1">
      <alignment vertical="center"/>
      <protection locked="0"/>
    </xf>
    <xf numFmtId="167" fontId="24" fillId="32" borderId="40" xfId="0" applyNumberFormat="1" applyFont="1" applyFill="1" applyBorder="1" applyAlignment="1" applyProtection="1">
      <alignment horizontal="center" vertical="center"/>
      <protection locked="0"/>
    </xf>
    <xf numFmtId="0" fontId="10" fillId="8" borderId="2" xfId="4" applyFont="1" applyFill="1" applyBorder="1" applyAlignment="1" applyProtection="1">
      <alignment vertical="center" wrapText="1"/>
      <protection hidden="1"/>
    </xf>
    <xf numFmtId="0" fontId="10" fillId="8" borderId="1" xfId="4" applyFont="1" applyFill="1" applyBorder="1" applyAlignment="1" applyProtection="1">
      <alignment horizontal="center" vertical="center" wrapText="1"/>
      <protection hidden="1"/>
    </xf>
    <xf numFmtId="0" fontId="10" fillId="4" borderId="2" xfId="4" applyFont="1" applyFill="1" applyBorder="1" applyAlignment="1" applyProtection="1">
      <alignment vertical="center" wrapText="1"/>
      <protection hidden="1"/>
    </xf>
    <xf numFmtId="9" fontId="12" fillId="4" borderId="1" xfId="3" applyFont="1" applyFill="1" applyBorder="1" applyAlignment="1" applyProtection="1">
      <alignment horizontal="center" vertical="center" wrapText="1"/>
      <protection hidden="1"/>
    </xf>
    <xf numFmtId="9" fontId="12" fillId="4" borderId="2" xfId="3" applyFont="1" applyFill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vertical="center" wrapText="1"/>
      <protection hidden="1"/>
    </xf>
    <xf numFmtId="0" fontId="10" fillId="0" borderId="15" xfId="4" applyFont="1" applyBorder="1" applyAlignment="1" applyProtection="1">
      <alignment horizontal="center" vertical="center" wrapText="1"/>
      <protection hidden="1"/>
    </xf>
    <xf numFmtId="0" fontId="10" fillId="4" borderId="3" xfId="4" applyFont="1" applyFill="1" applyBorder="1" applyAlignment="1" applyProtection="1">
      <alignment vertical="center" wrapText="1"/>
      <protection hidden="1"/>
    </xf>
    <xf numFmtId="9" fontId="12" fillId="5" borderId="1" xfId="3" applyFont="1" applyFill="1" applyBorder="1" applyAlignment="1" applyProtection="1">
      <alignment horizontal="center" vertical="center" wrapText="1"/>
      <protection hidden="1"/>
    </xf>
    <xf numFmtId="0" fontId="10" fillId="4" borderId="1" xfId="4" applyFont="1" applyFill="1" applyBorder="1" applyAlignment="1" applyProtection="1">
      <alignment vertical="center" wrapText="1"/>
      <protection hidden="1"/>
    </xf>
    <xf numFmtId="9" fontId="12" fillId="4" borderId="16" xfId="3" applyFont="1" applyFill="1" applyBorder="1" applyAlignment="1" applyProtection="1">
      <alignment horizontal="center" vertical="center" wrapText="1"/>
      <protection hidden="1"/>
    </xf>
    <xf numFmtId="0" fontId="10" fillId="3" borderId="1" xfId="4" applyFont="1" applyFill="1" applyBorder="1" applyAlignment="1" applyProtection="1">
      <alignment vertical="center" wrapText="1"/>
      <protection hidden="1"/>
    </xf>
    <xf numFmtId="0" fontId="10" fillId="3" borderId="2" xfId="4" applyFont="1" applyFill="1" applyBorder="1" applyAlignment="1" applyProtection="1">
      <alignment vertical="center" wrapText="1"/>
      <protection hidden="1"/>
    </xf>
    <xf numFmtId="0" fontId="8" fillId="2" borderId="5" xfId="5" applyFont="1" applyFill="1" applyBorder="1" applyAlignment="1" applyProtection="1">
      <alignment horizontal="center" vertical="center" wrapText="1"/>
      <protection hidden="1"/>
    </xf>
    <xf numFmtId="44" fontId="8" fillId="2" borderId="5" xfId="2" applyFont="1" applyFill="1" applyBorder="1" applyAlignment="1" applyProtection="1">
      <alignment horizontal="center" vertical="center" wrapText="1"/>
      <protection hidden="1"/>
    </xf>
    <xf numFmtId="44" fontId="8" fillId="2" borderId="1" xfId="2" applyFont="1" applyFill="1" applyBorder="1" applyAlignment="1" applyProtection="1">
      <alignment horizontal="center" vertical="center" wrapText="1"/>
      <protection hidden="1"/>
    </xf>
    <xf numFmtId="0" fontId="8" fillId="10" borderId="5" xfId="6" applyFont="1" applyFill="1" applyBorder="1" applyAlignment="1" applyProtection="1">
      <alignment horizontal="center" vertical="center"/>
      <protection hidden="1"/>
    </xf>
    <xf numFmtId="44" fontId="9" fillId="10" borderId="5" xfId="2" applyFont="1" applyFill="1" applyBorder="1" applyAlignment="1" applyProtection="1">
      <alignment horizontal="center" vertical="center" wrapText="1"/>
      <protection hidden="1"/>
    </xf>
    <xf numFmtId="44" fontId="9" fillId="10" borderId="5" xfId="2" applyFont="1" applyFill="1" applyBorder="1" applyAlignment="1" applyProtection="1">
      <alignment horizontal="center" vertical="center"/>
      <protection hidden="1"/>
    </xf>
    <xf numFmtId="44" fontId="9" fillId="10" borderId="5" xfId="2" applyFont="1" applyFill="1" applyBorder="1" applyAlignment="1" applyProtection="1">
      <alignment vertical="center"/>
      <protection hidden="1"/>
    </xf>
    <xf numFmtId="44" fontId="9" fillId="10" borderId="1" xfId="2" applyFont="1" applyFill="1" applyBorder="1" applyAlignment="1" applyProtection="1">
      <alignment vertical="center"/>
      <protection hidden="1"/>
    </xf>
    <xf numFmtId="0" fontId="4" fillId="11" borderId="18" xfId="4" applyFont="1" applyFill="1" applyBorder="1" applyAlignment="1" applyProtection="1">
      <alignment horizontal="center" vertical="center" wrapText="1"/>
      <protection hidden="1"/>
    </xf>
    <xf numFmtId="0" fontId="4" fillId="10" borderId="5" xfId="7" applyFont="1" applyFill="1" applyBorder="1" applyAlignment="1" applyProtection="1">
      <alignment vertical="center"/>
      <protection hidden="1"/>
    </xf>
    <xf numFmtId="0" fontId="25" fillId="38" borderId="40" xfId="0" applyFont="1" applyFill="1" applyBorder="1" applyAlignment="1" applyProtection="1">
      <alignment horizontal="center" vertical="center"/>
      <protection hidden="1"/>
    </xf>
    <xf numFmtId="0" fontId="10" fillId="12" borderId="5" xfId="4" applyFont="1" applyFill="1" applyBorder="1" applyAlignment="1" applyProtection="1">
      <alignment horizontal="center" vertical="center" wrapText="1"/>
      <protection hidden="1"/>
    </xf>
    <xf numFmtId="44" fontId="9" fillId="12" borderId="5" xfId="2" applyFont="1" applyFill="1" applyBorder="1" applyAlignment="1" applyProtection="1">
      <alignment horizontal="center" vertical="center" wrapText="1"/>
      <protection hidden="1"/>
    </xf>
    <xf numFmtId="44" fontId="9" fillId="12" borderId="5" xfId="2" applyFont="1" applyFill="1" applyBorder="1" applyAlignment="1" applyProtection="1">
      <alignment horizontal="center" vertical="center"/>
      <protection hidden="1"/>
    </xf>
    <xf numFmtId="44" fontId="9" fillId="12" borderId="5" xfId="2" applyFont="1" applyFill="1" applyBorder="1" applyAlignment="1" applyProtection="1">
      <alignment vertical="center"/>
      <protection hidden="1"/>
    </xf>
    <xf numFmtId="44" fontId="9" fillId="12" borderId="1" xfId="2" applyFont="1" applyFill="1" applyBorder="1" applyAlignment="1" applyProtection="1">
      <alignment vertical="center"/>
      <protection hidden="1"/>
    </xf>
    <xf numFmtId="0" fontId="4" fillId="13" borderId="5" xfId="7" applyFont="1" applyFill="1" applyBorder="1" applyAlignment="1" applyProtection="1">
      <alignment vertical="center"/>
      <protection hidden="1"/>
    </xf>
    <xf numFmtId="0" fontId="24" fillId="32" borderId="40" xfId="0" applyFont="1" applyFill="1" applyBorder="1" applyAlignment="1" applyProtection="1">
      <alignment horizontal="center" vertical="center"/>
      <protection hidden="1"/>
    </xf>
    <xf numFmtId="0" fontId="4" fillId="11" borderId="20" xfId="4" applyFont="1" applyFill="1" applyBorder="1" applyAlignment="1" applyProtection="1">
      <alignment horizontal="center" vertical="center" wrapText="1"/>
      <protection hidden="1"/>
    </xf>
    <xf numFmtId="164" fontId="4" fillId="6" borderId="5" xfId="8" applyFont="1" applyFill="1" applyBorder="1" applyAlignment="1" applyProtection="1">
      <alignment vertical="center"/>
      <protection hidden="1"/>
    </xf>
    <xf numFmtId="0" fontId="4" fillId="11" borderId="26" xfId="4" applyFont="1" applyFill="1" applyBorder="1" applyAlignment="1" applyProtection="1">
      <alignment horizontal="center" vertical="center" wrapText="1"/>
      <protection hidden="1"/>
    </xf>
    <xf numFmtId="0" fontId="4" fillId="14" borderId="5" xfId="7" applyFont="1" applyFill="1" applyBorder="1" applyAlignment="1" applyProtection="1">
      <alignment vertical="center"/>
      <protection hidden="1"/>
    </xf>
    <xf numFmtId="0" fontId="10" fillId="15" borderId="5" xfId="9" applyFont="1" applyFill="1" applyBorder="1" applyAlignment="1" applyProtection="1">
      <alignment vertical="center" wrapText="1"/>
      <protection hidden="1"/>
    </xf>
    <xf numFmtId="0" fontId="4" fillId="20" borderId="5" xfId="9" applyFont="1" applyFill="1" applyBorder="1" applyAlignment="1" applyProtection="1">
      <alignment horizontal="left" vertical="center" wrapText="1"/>
      <protection hidden="1"/>
    </xf>
    <xf numFmtId="0" fontId="4" fillId="21" borderId="5" xfId="9" applyFont="1" applyFill="1" applyBorder="1" applyAlignment="1" applyProtection="1">
      <alignment horizontal="left" vertical="center" wrapText="1"/>
      <protection hidden="1"/>
    </xf>
    <xf numFmtId="0" fontId="4" fillId="11" borderId="8" xfId="4" applyFont="1" applyFill="1" applyBorder="1" applyAlignment="1" applyProtection="1">
      <alignment horizontal="center" vertical="center" wrapText="1"/>
      <protection hidden="1"/>
    </xf>
    <xf numFmtId="0" fontId="4" fillId="25" borderId="5" xfId="9" applyFont="1" applyFill="1" applyBorder="1" applyAlignment="1" applyProtection="1">
      <alignment horizontal="left" vertical="center" wrapText="1"/>
      <protection hidden="1"/>
    </xf>
    <xf numFmtId="0" fontId="4" fillId="14" borderId="5" xfId="9" applyFont="1" applyFill="1" applyBorder="1" applyAlignment="1" applyProtection="1">
      <alignment horizontal="left" vertical="center" wrapText="1"/>
      <protection hidden="1"/>
    </xf>
    <xf numFmtId="0" fontId="4" fillId="26" borderId="5" xfId="9" applyFont="1" applyFill="1" applyBorder="1" applyAlignment="1" applyProtection="1">
      <alignment horizontal="left" vertical="center" wrapText="1"/>
      <protection hidden="1"/>
    </xf>
    <xf numFmtId="0" fontId="4" fillId="27" borderId="5" xfId="9" applyFont="1" applyFill="1" applyBorder="1" applyAlignment="1" applyProtection="1">
      <alignment horizontal="left" vertical="center" wrapText="1"/>
      <protection hidden="1"/>
    </xf>
    <xf numFmtId="0" fontId="4" fillId="28" borderId="5" xfId="10" applyFont="1" applyFill="1" applyBorder="1" applyAlignment="1" applyProtection="1">
      <alignment horizontal="center" vertical="center"/>
      <protection hidden="1"/>
    </xf>
    <xf numFmtId="0" fontId="4" fillId="2" borderId="5" xfId="10" applyFont="1" applyFill="1" applyBorder="1" applyAlignment="1" applyProtection="1">
      <alignment horizontal="left" vertical="center"/>
      <protection hidden="1"/>
    </xf>
    <xf numFmtId="164" fontId="25" fillId="0" borderId="47" xfId="0" applyNumberFormat="1" applyFont="1" applyBorder="1" applyAlignment="1" applyProtection="1">
      <alignment vertical="center"/>
      <protection hidden="1"/>
    </xf>
    <xf numFmtId="164" fontId="25" fillId="0" borderId="46" xfId="0" applyNumberFormat="1" applyFont="1" applyBorder="1" applyAlignment="1" applyProtection="1">
      <alignment vertical="center"/>
      <protection hidden="1"/>
    </xf>
    <xf numFmtId="22" fontId="28" fillId="0" borderId="0" xfId="0" applyNumberFormat="1" applyFont="1"/>
    <xf numFmtId="22" fontId="28" fillId="0" borderId="0" xfId="0" applyNumberFormat="1" applyFont="1" applyProtection="1">
      <protection hidden="1"/>
    </xf>
    <xf numFmtId="166" fontId="7" fillId="14" borderId="37" xfId="0" applyNumberFormat="1" applyFont="1" applyFill="1" applyBorder="1" applyAlignment="1" applyProtection="1">
      <alignment horizontal="center" vertical="center"/>
      <protection hidden="1"/>
    </xf>
    <xf numFmtId="49" fontId="7" fillId="40" borderId="31" xfId="0" quotePrefix="1" applyNumberFormat="1" applyFont="1" applyFill="1" applyBorder="1" applyAlignment="1">
      <alignment horizontal="center" vertical="center" wrapText="1"/>
    </xf>
    <xf numFmtId="49" fontId="8" fillId="29" borderId="53" xfId="0" applyNumberFormat="1" applyFont="1" applyFill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/>
    </xf>
    <xf numFmtId="0" fontId="8" fillId="29" borderId="33" xfId="0" quotePrefix="1" applyFont="1" applyFill="1" applyBorder="1" applyAlignment="1">
      <alignment horizontal="center" vertical="center" wrapText="1"/>
    </xf>
    <xf numFmtId="168" fontId="15" fillId="14" borderId="33" xfId="0" applyNumberFormat="1" applyFont="1" applyFill="1" applyBorder="1" applyAlignment="1" applyProtection="1">
      <alignment horizontal="center" vertical="center"/>
      <protection hidden="1"/>
    </xf>
    <xf numFmtId="166" fontId="7" fillId="14" borderId="33" xfId="0" applyNumberFormat="1" applyFont="1" applyFill="1" applyBorder="1" applyAlignment="1" applyProtection="1">
      <alignment horizontal="center" vertical="center"/>
      <protection hidden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right"/>
    </xf>
    <xf numFmtId="1" fontId="7" fillId="5" borderId="16" xfId="0" applyNumberFormat="1" applyFont="1" applyFill="1" applyBorder="1" applyAlignment="1">
      <alignment horizontal="center" vertical="center"/>
    </xf>
    <xf numFmtId="0" fontId="8" fillId="3" borderId="54" xfId="4" applyFont="1" applyFill="1" applyBorder="1" applyAlignment="1">
      <alignment vertical="center"/>
    </xf>
    <xf numFmtId="49" fontId="7" fillId="5" borderId="33" xfId="0" applyNumberFormat="1" applyFont="1" applyFill="1" applyBorder="1" applyAlignment="1">
      <alignment horizontal="center" vertical="center"/>
    </xf>
    <xf numFmtId="44" fontId="9" fillId="5" borderId="37" xfId="2" applyFont="1" applyFill="1" applyBorder="1" applyAlignment="1" applyProtection="1">
      <alignment vertical="center"/>
      <protection hidden="1"/>
    </xf>
    <xf numFmtId="0" fontId="23" fillId="5" borderId="36" xfId="2" applyNumberFormat="1" applyFont="1" applyFill="1" applyBorder="1" applyAlignment="1" applyProtection="1">
      <alignment vertical="center"/>
      <protection hidden="1"/>
    </xf>
    <xf numFmtId="44" fontId="9" fillId="5" borderId="51" xfId="2" applyFont="1" applyFill="1" applyBorder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" fontId="7" fillId="5" borderId="52" xfId="0" applyNumberFormat="1" applyFont="1" applyFill="1" applyBorder="1" applyAlignment="1">
      <alignment horizontal="center" vertical="center"/>
    </xf>
    <xf numFmtId="49" fontId="7" fillId="5" borderId="31" xfId="0" applyNumberFormat="1" applyFont="1" applyFill="1" applyBorder="1" applyAlignment="1">
      <alignment horizontal="center" vertical="center"/>
    </xf>
    <xf numFmtId="0" fontId="8" fillId="28" borderId="32" xfId="0" applyFont="1" applyFill="1" applyBorder="1" applyAlignment="1" applyProtection="1">
      <alignment horizontal="center" vertical="center"/>
      <protection hidden="1"/>
    </xf>
    <xf numFmtId="44" fontId="9" fillId="5" borderId="33" xfId="11" applyFont="1" applyFill="1" applyBorder="1" applyAlignment="1" applyProtection="1">
      <alignment horizontal="center" vertical="center"/>
      <protection hidden="1"/>
    </xf>
    <xf numFmtId="1" fontId="7" fillId="5" borderId="0" xfId="0" applyNumberFormat="1" applyFont="1" applyFill="1" applyAlignment="1">
      <alignment horizontal="center" vertical="center"/>
    </xf>
    <xf numFmtId="0" fontId="26" fillId="33" borderId="55" xfId="0" applyFont="1" applyFill="1" applyBorder="1" applyAlignment="1">
      <alignment vertical="center"/>
    </xf>
    <xf numFmtId="44" fontId="16" fillId="0" borderId="0" xfId="0" applyNumberFormat="1" applyFont="1" applyAlignment="1">
      <alignment horizontal="center" vertical="center"/>
    </xf>
    <xf numFmtId="44" fontId="7" fillId="14" borderId="31" xfId="2" applyFont="1" applyFill="1" applyBorder="1" applyAlignment="1" applyProtection="1">
      <alignment horizontal="center" vertical="center"/>
      <protection hidden="1"/>
    </xf>
    <xf numFmtId="44" fontId="4" fillId="14" borderId="33" xfId="0" applyNumberFormat="1" applyFont="1" applyFill="1" applyBorder="1" applyAlignment="1" applyProtection="1">
      <alignment horizontal="centerContinuous" vertical="center"/>
      <protection hidden="1"/>
    </xf>
    <xf numFmtId="44" fontId="4" fillId="14" borderId="36" xfId="0" applyNumberFormat="1" applyFont="1" applyFill="1" applyBorder="1" applyAlignment="1" applyProtection="1">
      <alignment horizontal="centerContinuous" vertical="center"/>
      <protection hidden="1"/>
    </xf>
    <xf numFmtId="44" fontId="4" fillId="14" borderId="32" xfId="0" applyNumberFormat="1" applyFont="1" applyFill="1" applyBorder="1" applyAlignment="1" applyProtection="1">
      <alignment horizontal="centerContinuous" vertical="center"/>
      <protection hidden="1"/>
    </xf>
    <xf numFmtId="1" fontId="10" fillId="31" borderId="11" xfId="2" applyNumberFormat="1" applyFont="1" applyFill="1" applyBorder="1" applyAlignment="1" applyProtection="1">
      <alignment horizontal="center" vertical="center" wrapText="1"/>
      <protection locked="0"/>
    </xf>
    <xf numFmtId="0" fontId="7" fillId="14" borderId="33" xfId="0" applyFont="1" applyFill="1" applyBorder="1" applyAlignment="1" applyProtection="1">
      <alignment horizontal="center" vertical="center"/>
      <protection hidden="1"/>
    </xf>
    <xf numFmtId="1" fontId="7" fillId="5" borderId="33" xfId="0" applyNumberFormat="1" applyFont="1" applyFill="1" applyBorder="1" applyAlignment="1" applyProtection="1">
      <alignment horizontal="center" vertical="center"/>
      <protection hidden="1"/>
    </xf>
    <xf numFmtId="165" fontId="10" fillId="11" borderId="22" xfId="4" applyNumberFormat="1" applyFont="1" applyFill="1" applyBorder="1" applyAlignment="1" applyProtection="1">
      <alignment horizontal="center" vertical="center" wrapText="1"/>
      <protection locked="0"/>
    </xf>
    <xf numFmtId="1" fontId="4" fillId="14" borderId="5" xfId="6" applyNumberFormat="1" applyFont="1" applyFill="1" applyBorder="1" applyAlignment="1" applyProtection="1">
      <alignment horizontal="center" vertical="center"/>
      <protection locked="0"/>
    </xf>
    <xf numFmtId="1" fontId="22" fillId="28" borderId="24" xfId="0" applyNumberFormat="1" applyFont="1" applyFill="1" applyBorder="1" applyAlignment="1">
      <alignment horizontal="center" vertical="center"/>
    </xf>
    <xf numFmtId="0" fontId="31" fillId="28" borderId="24" xfId="0" applyFont="1" applyFill="1" applyBorder="1" applyAlignment="1">
      <alignment horizontal="left" vertical="center"/>
    </xf>
    <xf numFmtId="1" fontId="22" fillId="28" borderId="24" xfId="0" applyNumberFormat="1" applyFont="1" applyFill="1" applyBorder="1" applyAlignment="1" applyProtection="1">
      <alignment horizontal="center" vertical="center"/>
      <protection locked="0"/>
    </xf>
    <xf numFmtId="1" fontId="22" fillId="28" borderId="24" xfId="0" applyNumberFormat="1" applyFont="1" applyFill="1" applyBorder="1" applyAlignment="1" applyProtection="1">
      <alignment horizontal="center" vertical="center"/>
      <protection hidden="1"/>
    </xf>
    <xf numFmtId="170" fontId="25" fillId="0" borderId="0" xfId="0" applyNumberFormat="1" applyFont="1"/>
    <xf numFmtId="0" fontId="25" fillId="0" borderId="0" xfId="0" applyFont="1"/>
    <xf numFmtId="1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 vertical="center"/>
    </xf>
    <xf numFmtId="164" fontId="25" fillId="0" borderId="47" xfId="0" applyNumberFormat="1" applyFont="1" applyBorder="1" applyAlignment="1" applyProtection="1">
      <alignment horizontal="center" vertical="center" wrapText="1"/>
      <protection hidden="1"/>
    </xf>
    <xf numFmtId="164" fontId="25" fillId="0" borderId="46" xfId="0" applyNumberFormat="1" applyFont="1" applyBorder="1" applyAlignment="1" applyProtection="1">
      <alignment horizontal="center" vertical="center"/>
      <protection hidden="1"/>
    </xf>
    <xf numFmtId="44" fontId="25" fillId="0" borderId="47" xfId="2" applyFont="1" applyBorder="1" applyAlignment="1" applyProtection="1">
      <alignment vertical="center"/>
      <protection hidden="1"/>
    </xf>
    <xf numFmtId="44" fontId="10" fillId="30" borderId="5" xfId="2" applyFont="1" applyFill="1" applyBorder="1" applyAlignment="1" applyProtection="1">
      <alignment vertical="center"/>
      <protection hidden="1"/>
    </xf>
    <xf numFmtId="44" fontId="10" fillId="10" borderId="5" xfId="2" applyFont="1" applyFill="1" applyBorder="1" applyAlignment="1" applyProtection="1">
      <alignment vertical="center"/>
      <protection hidden="1"/>
    </xf>
    <xf numFmtId="44" fontId="25" fillId="38" borderId="40" xfId="2" applyFont="1" applyFill="1" applyBorder="1" applyAlignment="1" applyProtection="1">
      <alignment horizontal="center" vertical="center"/>
      <protection hidden="1"/>
    </xf>
    <xf numFmtId="44" fontId="10" fillId="13" borderId="5" xfId="2" applyFont="1" applyFill="1" applyBorder="1" applyAlignment="1" applyProtection="1">
      <alignment vertical="center"/>
      <protection hidden="1"/>
    </xf>
    <xf numFmtId="44" fontId="24" fillId="32" borderId="40" xfId="2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44" fontId="10" fillId="14" borderId="5" xfId="2" applyFont="1" applyFill="1" applyBorder="1" applyAlignment="1" applyProtection="1">
      <alignment vertical="center"/>
      <protection hidden="1"/>
    </xf>
    <xf numFmtId="44" fontId="10" fillId="10" borderId="5" xfId="2" applyFont="1" applyFill="1" applyBorder="1" applyAlignment="1" applyProtection="1">
      <alignment horizontal="center" vertical="center"/>
      <protection hidden="1"/>
    </xf>
    <xf numFmtId="44" fontId="10" fillId="15" borderId="5" xfId="2" applyFont="1" applyFill="1" applyBorder="1" applyAlignment="1" applyProtection="1">
      <alignment vertical="center" wrapText="1"/>
      <protection hidden="1"/>
    </xf>
    <xf numFmtId="44" fontId="10" fillId="16" borderId="5" xfId="2" applyFont="1" applyFill="1" applyBorder="1" applyAlignment="1" applyProtection="1">
      <alignment vertical="center" wrapText="1"/>
      <protection hidden="1"/>
    </xf>
    <xf numFmtId="44" fontId="10" fillId="17" borderId="5" xfId="2" applyFont="1" applyFill="1" applyBorder="1" applyAlignment="1" applyProtection="1">
      <alignment vertical="center" wrapText="1"/>
      <protection hidden="1"/>
    </xf>
    <xf numFmtId="44" fontId="10" fillId="18" borderId="5" xfId="2" applyFont="1" applyFill="1" applyBorder="1" applyAlignment="1" applyProtection="1">
      <alignment vertical="center" wrapText="1"/>
      <protection hidden="1"/>
    </xf>
    <xf numFmtId="44" fontId="10" fillId="19" borderId="5" xfId="2" applyFont="1" applyFill="1" applyBorder="1" applyAlignment="1" applyProtection="1">
      <alignment vertical="center" wrapText="1"/>
      <protection hidden="1"/>
    </xf>
    <xf numFmtId="44" fontId="10" fillId="20" borderId="5" xfId="2" applyFont="1" applyFill="1" applyBorder="1" applyAlignment="1" applyProtection="1">
      <alignment horizontal="left" vertical="center" wrapText="1"/>
      <protection hidden="1"/>
    </xf>
    <xf numFmtId="44" fontId="10" fillId="21" borderId="5" xfId="2" applyFont="1" applyFill="1" applyBorder="1" applyAlignment="1" applyProtection="1">
      <alignment horizontal="left" vertical="center" wrapText="1"/>
      <protection hidden="1"/>
    </xf>
    <xf numFmtId="44" fontId="9" fillId="22" borderId="5" xfId="2" applyFont="1" applyFill="1" applyBorder="1" applyAlignment="1" applyProtection="1">
      <alignment horizontal="center" vertical="center"/>
      <protection hidden="1"/>
    </xf>
    <xf numFmtId="44" fontId="9" fillId="23" borderId="5" xfId="2" applyFont="1" applyFill="1" applyBorder="1" applyAlignment="1" applyProtection="1">
      <alignment horizontal="center" vertical="center"/>
      <protection hidden="1"/>
    </xf>
    <xf numFmtId="44" fontId="7" fillId="24" borderId="5" xfId="2" applyFont="1" applyFill="1" applyBorder="1" applyAlignment="1" applyProtection="1">
      <alignment horizontal="center" vertical="center"/>
      <protection hidden="1"/>
    </xf>
    <xf numFmtId="44" fontId="8" fillId="15" borderId="5" xfId="2" applyFont="1" applyFill="1" applyBorder="1" applyAlignment="1" applyProtection="1">
      <alignment horizontal="center" vertical="center"/>
      <protection hidden="1"/>
    </xf>
    <xf numFmtId="44" fontId="22" fillId="28" borderId="24" xfId="2" applyFont="1" applyFill="1" applyBorder="1" applyAlignment="1">
      <alignment horizontal="center" vertical="center"/>
    </xf>
    <xf numFmtId="44" fontId="25" fillId="8" borderId="41" xfId="2" applyFont="1" applyFill="1" applyBorder="1" applyAlignment="1">
      <alignment vertical="center"/>
    </xf>
    <xf numFmtId="44" fontId="10" fillId="4" borderId="5" xfId="2" applyFont="1" applyFill="1" applyBorder="1" applyAlignment="1" applyProtection="1">
      <alignment horizontal="left" vertical="center" wrapText="1"/>
      <protection hidden="1"/>
    </xf>
    <xf numFmtId="44" fontId="10" fillId="25" borderId="5" xfId="2" applyFont="1" applyFill="1" applyBorder="1" applyAlignment="1" applyProtection="1">
      <alignment horizontal="left" vertical="center" wrapText="1"/>
      <protection hidden="1"/>
    </xf>
    <xf numFmtId="44" fontId="10" fillId="14" borderId="5" xfId="2" applyFont="1" applyFill="1" applyBorder="1" applyAlignment="1" applyProtection="1">
      <alignment horizontal="left" vertical="center" wrapText="1"/>
      <protection hidden="1"/>
    </xf>
    <xf numFmtId="44" fontId="10" fillId="26" borderId="5" xfId="2" applyFont="1" applyFill="1" applyBorder="1" applyAlignment="1" applyProtection="1">
      <alignment horizontal="left" vertical="center" wrapText="1"/>
      <protection hidden="1"/>
    </xf>
    <xf numFmtId="44" fontId="10" fillId="27" borderId="5" xfId="2" applyFont="1" applyFill="1" applyBorder="1" applyAlignment="1" applyProtection="1">
      <alignment horizontal="left" vertical="center" wrapText="1"/>
      <protection hidden="1"/>
    </xf>
    <xf numFmtId="44" fontId="10" fillId="28" borderId="5" xfId="2" applyFont="1" applyFill="1" applyBorder="1" applyAlignment="1" applyProtection="1">
      <alignment horizontal="center" vertical="center"/>
      <protection hidden="1"/>
    </xf>
    <xf numFmtId="44" fontId="24" fillId="34" borderId="40" xfId="2" applyFont="1" applyFill="1" applyBorder="1" applyAlignment="1" applyProtection="1">
      <alignment horizontal="left" vertical="center"/>
      <protection hidden="1"/>
    </xf>
    <xf numFmtId="44" fontId="9" fillId="8" borderId="18" xfId="2" applyFont="1" applyFill="1" applyBorder="1" applyAlignment="1" applyProtection="1">
      <alignment vertical="center"/>
      <protection hidden="1"/>
    </xf>
    <xf numFmtId="22" fontId="28" fillId="8" borderId="0" xfId="0" applyNumberFormat="1" applyFont="1" applyFill="1"/>
    <xf numFmtId="49" fontId="7" fillId="5" borderId="52" xfId="0" applyNumberFormat="1" applyFont="1" applyFill="1" applyBorder="1" applyAlignment="1">
      <alignment horizontal="center" vertical="center"/>
    </xf>
    <xf numFmtId="44" fontId="25" fillId="5" borderId="33" xfId="2" applyFont="1" applyFill="1" applyBorder="1" applyAlignment="1">
      <alignment vertical="center"/>
    </xf>
    <xf numFmtId="44" fontId="15" fillId="14" borderId="31" xfId="0" applyNumberFormat="1" applyFont="1" applyFill="1" applyBorder="1" applyAlignment="1" applyProtection="1">
      <alignment horizontal="center" vertical="center"/>
      <protection hidden="1"/>
    </xf>
    <xf numFmtId="1" fontId="8" fillId="28" borderId="33" xfId="0" applyNumberFormat="1" applyFont="1" applyFill="1" applyBorder="1" applyAlignment="1" applyProtection="1">
      <alignment horizontal="center" vertical="center"/>
      <protection hidden="1"/>
    </xf>
    <xf numFmtId="1" fontId="10" fillId="31" borderId="3" xfId="2" applyNumberFormat="1" applyFont="1" applyFill="1" applyBorder="1" applyAlignment="1" applyProtection="1">
      <alignment horizontal="center" vertical="center" wrapText="1"/>
      <protection locked="0"/>
    </xf>
    <xf numFmtId="1" fontId="7" fillId="5" borderId="29" xfId="0" applyNumberFormat="1" applyFont="1" applyFill="1" applyBorder="1" applyAlignment="1">
      <alignment horizontal="center" vertical="center"/>
    </xf>
    <xf numFmtId="49" fontId="7" fillId="5" borderId="36" xfId="0" applyNumberFormat="1" applyFont="1" applyFill="1" applyBorder="1" applyProtection="1">
      <protection hidden="1"/>
    </xf>
    <xf numFmtId="0" fontId="23" fillId="5" borderId="36" xfId="0" applyFont="1" applyFill="1" applyBorder="1" applyProtection="1">
      <protection hidden="1"/>
    </xf>
    <xf numFmtId="44" fontId="9" fillId="5" borderId="36" xfId="2" applyFont="1" applyFill="1" applyBorder="1" applyAlignment="1" applyProtection="1">
      <alignment horizontal="center" vertical="center" wrapText="1"/>
      <protection hidden="1"/>
    </xf>
    <xf numFmtId="44" fontId="9" fillId="5" borderId="36" xfId="2" applyFont="1" applyFill="1" applyBorder="1" applyAlignment="1" applyProtection="1">
      <alignment horizontal="left" vertical="center"/>
      <protection hidden="1"/>
    </xf>
    <xf numFmtId="0" fontId="7" fillId="41" borderId="33" xfId="0" applyFont="1" applyFill="1" applyBorder="1" applyAlignment="1" applyProtection="1">
      <alignment horizontal="center" vertical="center"/>
      <protection hidden="1"/>
    </xf>
    <xf numFmtId="1" fontId="15" fillId="14" borderId="32" xfId="2" applyNumberFormat="1" applyFont="1" applyFill="1" applyBorder="1" applyAlignment="1" applyProtection="1">
      <alignment horizontal="center" vertical="center"/>
      <protection hidden="1"/>
    </xf>
    <xf numFmtId="1" fontId="9" fillId="0" borderId="56" xfId="0" applyNumberFormat="1" applyFont="1" applyBorder="1" applyAlignment="1">
      <alignment horizontal="center"/>
    </xf>
    <xf numFmtId="44" fontId="29" fillId="14" borderId="33" xfId="0" applyNumberFormat="1" applyFont="1" applyFill="1" applyBorder="1" applyAlignment="1" applyProtection="1">
      <alignment horizontal="center" vertical="center"/>
      <protection hidden="1"/>
    </xf>
    <xf numFmtId="1" fontId="10" fillId="31" borderId="14" xfId="2" applyNumberFormat="1" applyFont="1" applyFill="1" applyBorder="1" applyAlignment="1" applyProtection="1">
      <alignment horizontal="center" vertical="center" wrapText="1"/>
      <protection locked="0"/>
    </xf>
    <xf numFmtId="44" fontId="29" fillId="14" borderId="32" xfId="0" applyNumberFormat="1" applyFont="1" applyFill="1" applyBorder="1" applyAlignment="1" applyProtection="1">
      <alignment horizontal="center" vertical="center"/>
      <protection hidden="1"/>
    </xf>
    <xf numFmtId="49" fontId="7" fillId="5" borderId="51" xfId="0" applyNumberFormat="1" applyFont="1" applyFill="1" applyBorder="1" applyProtection="1">
      <protection hidden="1"/>
    </xf>
    <xf numFmtId="168" fontId="10" fillId="14" borderId="33" xfId="2" applyNumberFormat="1" applyFont="1" applyFill="1" applyBorder="1" applyAlignment="1" applyProtection="1">
      <alignment horizontal="center" vertical="center" wrapText="1"/>
      <protection hidden="1"/>
    </xf>
    <xf numFmtId="169" fontId="4" fillId="14" borderId="32" xfId="1" applyNumberFormat="1" applyFont="1" applyFill="1" applyBorder="1" applyAlignment="1" applyProtection="1">
      <alignment horizontal="center" vertical="center"/>
      <protection hidden="1"/>
    </xf>
    <xf numFmtId="44" fontId="4" fillId="14" borderId="33" xfId="2" applyFont="1" applyFill="1" applyBorder="1" applyAlignment="1" applyProtection="1">
      <alignment horizontal="center" vertical="center"/>
      <protection hidden="1"/>
    </xf>
    <xf numFmtId="44" fontId="9" fillId="5" borderId="20" xfId="2" applyFont="1" applyFill="1" applyBorder="1" applyAlignment="1" applyProtection="1">
      <alignment horizontal="center" vertical="center"/>
      <protection hidden="1"/>
    </xf>
    <xf numFmtId="165" fontId="10" fillId="11" borderId="18" xfId="4" applyNumberFormat="1" applyFont="1" applyFill="1" applyBorder="1" applyAlignment="1">
      <alignment horizontal="center" vertical="center" wrapText="1"/>
    </xf>
    <xf numFmtId="1" fontId="10" fillId="11" borderId="18" xfId="4" applyNumberFormat="1" applyFont="1" applyFill="1" applyBorder="1" applyAlignment="1">
      <alignment horizontal="center" vertical="center" wrapText="1"/>
    </xf>
    <xf numFmtId="1" fontId="10" fillId="11" borderId="20" xfId="4" applyNumberFormat="1" applyFont="1" applyFill="1" applyBorder="1" applyAlignment="1">
      <alignment horizontal="center" vertical="center" wrapText="1"/>
    </xf>
    <xf numFmtId="167" fontId="24" fillId="32" borderId="40" xfId="0" applyNumberFormat="1" applyFont="1" applyFill="1" applyBorder="1" applyAlignment="1">
      <alignment horizontal="center" vertical="center"/>
    </xf>
    <xf numFmtId="165" fontId="10" fillId="11" borderId="20" xfId="4" applyNumberFormat="1" applyFont="1" applyFill="1" applyBorder="1" applyAlignment="1">
      <alignment horizontal="center" vertical="center" wrapText="1"/>
    </xf>
    <xf numFmtId="1" fontId="10" fillId="6" borderId="5" xfId="8" applyNumberFormat="1" applyFont="1" applyFill="1" applyBorder="1" applyAlignment="1" applyProtection="1">
      <alignment vertical="center"/>
    </xf>
    <xf numFmtId="1" fontId="10" fillId="14" borderId="5" xfId="7" applyNumberFormat="1" applyFont="1" applyFill="1" applyBorder="1" applyAlignment="1">
      <alignment vertical="center"/>
    </xf>
    <xf numFmtId="1" fontId="4" fillId="11" borderId="18" xfId="4" applyNumberFormat="1" applyFont="1" applyFill="1" applyBorder="1" applyAlignment="1">
      <alignment horizontal="center" vertical="center" wrapText="1"/>
    </xf>
    <xf numFmtId="1" fontId="10" fillId="15" borderId="5" xfId="9" applyNumberFormat="1" applyFont="1" applyFill="1" applyBorder="1" applyAlignment="1">
      <alignment vertical="center" wrapText="1"/>
    </xf>
    <xf numFmtId="1" fontId="4" fillId="11" borderId="20" xfId="4" applyNumberFormat="1" applyFont="1" applyFill="1" applyBorder="1" applyAlignment="1">
      <alignment horizontal="center" vertical="center" wrapText="1"/>
    </xf>
    <xf numFmtId="1" fontId="10" fillId="16" borderId="5" xfId="9" applyNumberFormat="1" applyFont="1" applyFill="1" applyBorder="1" applyAlignment="1">
      <alignment vertical="center" wrapText="1"/>
    </xf>
    <xf numFmtId="1" fontId="15" fillId="11" borderId="20" xfId="4" applyNumberFormat="1" applyFont="1" applyFill="1" applyBorder="1" applyAlignment="1">
      <alignment horizontal="center" vertical="center" wrapText="1"/>
    </xf>
    <xf numFmtId="1" fontId="10" fillId="17" borderId="5" xfId="9" applyNumberFormat="1" applyFont="1" applyFill="1" applyBorder="1" applyAlignment="1">
      <alignment vertical="center" wrapText="1"/>
    </xf>
    <xf numFmtId="1" fontId="10" fillId="18" borderId="5" xfId="9" applyNumberFormat="1" applyFont="1" applyFill="1" applyBorder="1" applyAlignment="1">
      <alignment vertical="center" wrapText="1"/>
    </xf>
    <xf numFmtId="1" fontId="10" fillId="19" borderId="5" xfId="9" applyNumberFormat="1" applyFont="1" applyFill="1" applyBorder="1" applyAlignment="1">
      <alignment vertical="center" wrapText="1"/>
    </xf>
    <xf numFmtId="1" fontId="10" fillId="20" borderId="5" xfId="9" applyNumberFormat="1" applyFont="1" applyFill="1" applyBorder="1" applyAlignment="1">
      <alignment horizontal="left" vertical="center" wrapText="1"/>
    </xf>
    <xf numFmtId="1" fontId="10" fillId="11" borderId="8" xfId="4" applyNumberFormat="1" applyFont="1" applyFill="1" applyBorder="1" applyAlignment="1">
      <alignment horizontal="center" vertical="center" wrapText="1"/>
    </xf>
    <xf numFmtId="1" fontId="10" fillId="21" borderId="5" xfId="9" applyNumberFormat="1" applyFont="1" applyFill="1" applyBorder="1" applyAlignment="1">
      <alignment horizontal="left" vertical="center" wrapText="1"/>
    </xf>
    <xf numFmtId="1" fontId="7" fillId="22" borderId="5" xfId="0" applyNumberFormat="1" applyFont="1" applyFill="1" applyBorder="1" applyAlignment="1">
      <alignment horizontal="center" vertical="center"/>
    </xf>
    <xf numFmtId="1" fontId="7" fillId="23" borderId="5" xfId="0" applyNumberFormat="1" applyFont="1" applyFill="1" applyBorder="1" applyAlignment="1">
      <alignment horizontal="center" vertical="center"/>
    </xf>
    <xf numFmtId="165" fontId="10" fillId="11" borderId="8" xfId="4" applyNumberFormat="1" applyFont="1" applyFill="1" applyBorder="1" applyAlignment="1">
      <alignment horizontal="center" vertical="center" wrapText="1"/>
    </xf>
    <xf numFmtId="0" fontId="10" fillId="11" borderId="20" xfId="4" applyFont="1" applyFill="1" applyBorder="1" applyAlignment="1">
      <alignment horizontal="center" vertical="center" wrapText="1"/>
    </xf>
    <xf numFmtId="165" fontId="8" fillId="15" borderId="5" xfId="0" applyNumberFormat="1" applyFont="1" applyFill="1" applyBorder="1" applyAlignment="1">
      <alignment horizontal="center" vertical="center"/>
    </xf>
    <xf numFmtId="165" fontId="4" fillId="11" borderId="20" xfId="4" applyNumberFormat="1" applyFont="1" applyFill="1" applyBorder="1" applyAlignment="1">
      <alignment horizontal="center" vertical="center" wrapText="1"/>
    </xf>
    <xf numFmtId="1" fontId="4" fillId="4" borderId="5" xfId="9" applyNumberFormat="1" applyFont="1" applyFill="1" applyBorder="1" applyAlignment="1">
      <alignment horizontal="left" vertical="center" wrapText="1"/>
    </xf>
    <xf numFmtId="1" fontId="18" fillId="25" borderId="5" xfId="9" applyNumberFormat="1" applyFont="1" applyFill="1" applyBorder="1" applyAlignment="1">
      <alignment horizontal="left" vertical="center" wrapText="1"/>
    </xf>
    <xf numFmtId="1" fontId="10" fillId="11" borderId="26" xfId="4" applyNumberFormat="1" applyFont="1" applyFill="1" applyBorder="1" applyAlignment="1">
      <alignment horizontal="center" vertical="center" wrapText="1"/>
    </xf>
    <xf numFmtId="1" fontId="19" fillId="14" borderId="5" xfId="9" applyNumberFormat="1" applyFont="1" applyFill="1" applyBorder="1" applyAlignment="1">
      <alignment horizontal="left" vertical="center" wrapText="1"/>
    </xf>
    <xf numFmtId="1" fontId="4" fillId="26" borderId="5" xfId="9" applyNumberFormat="1" applyFont="1" applyFill="1" applyBorder="1" applyAlignment="1">
      <alignment horizontal="left" vertical="center" wrapText="1"/>
    </xf>
    <xf numFmtId="1" fontId="20" fillId="27" borderId="5" xfId="9" applyNumberFormat="1" applyFont="1" applyFill="1" applyBorder="1" applyAlignment="1">
      <alignment horizontal="left" vertical="center" wrapText="1"/>
    </xf>
    <xf numFmtId="1" fontId="10" fillId="28" borderId="5" xfId="10" applyNumberFormat="1" applyFont="1" applyFill="1" applyBorder="1" applyAlignment="1">
      <alignment horizontal="center" vertical="center"/>
    </xf>
    <xf numFmtId="1" fontId="10" fillId="2" borderId="5" xfId="10" applyNumberFormat="1" applyFont="1" applyFill="1" applyBorder="1" applyAlignment="1">
      <alignment horizontal="left" vertical="center"/>
    </xf>
    <xf numFmtId="0" fontId="24" fillId="34" borderId="40" xfId="0" applyFont="1" applyFill="1" applyBorder="1" applyAlignment="1">
      <alignment horizontal="left" vertical="center"/>
    </xf>
    <xf numFmtId="1" fontId="10" fillId="11" borderId="22" xfId="4" applyNumberFormat="1" applyFont="1" applyFill="1" applyBorder="1" applyAlignment="1">
      <alignment horizontal="center" vertical="center" wrapText="1"/>
    </xf>
    <xf numFmtId="0" fontId="24" fillId="39" borderId="40" xfId="0" applyFont="1" applyFill="1" applyBorder="1" applyAlignment="1">
      <alignment horizontal="left" vertical="center"/>
    </xf>
    <xf numFmtId="0" fontId="4" fillId="31" borderId="33" xfId="0" applyFont="1" applyFill="1" applyBorder="1" applyAlignment="1" applyProtection="1">
      <alignment horizontal="center" vertical="center"/>
      <protection locked="0"/>
    </xf>
    <xf numFmtId="164" fontId="25" fillId="0" borderId="47" xfId="0" applyNumberFormat="1" applyFont="1" applyBorder="1" applyAlignment="1">
      <alignment vertical="center"/>
    </xf>
    <xf numFmtId="44" fontId="9" fillId="5" borderId="51" xfId="2" applyFont="1" applyFill="1" applyBorder="1" applyAlignment="1" applyProtection="1">
      <alignment horizontal="center" vertical="center" wrapText="1"/>
      <protection hidden="1"/>
    </xf>
    <xf numFmtId="1" fontId="7" fillId="5" borderId="31" xfId="0" applyNumberFormat="1" applyFont="1" applyFill="1" applyBorder="1" applyAlignment="1">
      <alignment horizontal="center" vertical="center"/>
    </xf>
    <xf numFmtId="0" fontId="4" fillId="31" borderId="35" xfId="0" applyFont="1" applyFill="1" applyBorder="1" applyAlignment="1" applyProtection="1">
      <alignment horizontal="center" vertical="center"/>
      <protection locked="0"/>
    </xf>
    <xf numFmtId="44" fontId="25" fillId="5" borderId="33" xfId="2" applyFont="1" applyFill="1" applyBorder="1" applyAlignment="1" applyProtection="1">
      <alignment vertical="center"/>
      <protection hidden="1"/>
    </xf>
    <xf numFmtId="14" fontId="28" fillId="8" borderId="0" xfId="0" applyNumberFormat="1" applyFont="1" applyFill="1"/>
    <xf numFmtId="0" fontId="4" fillId="14" borderId="16" xfId="0" applyFont="1" applyFill="1" applyBorder="1" applyAlignment="1" applyProtection="1">
      <alignment horizontal="center" vertical="center"/>
      <protection hidden="1"/>
    </xf>
    <xf numFmtId="0" fontId="4" fillId="14" borderId="34" xfId="0" applyFont="1" applyFill="1" applyBorder="1" applyAlignment="1" applyProtection="1">
      <alignment horizontal="center" vertical="center"/>
      <protection hidden="1"/>
    </xf>
    <xf numFmtId="0" fontId="4" fillId="14" borderId="35" xfId="0" applyFont="1" applyFill="1" applyBorder="1" applyAlignment="1" applyProtection="1">
      <alignment horizontal="center" vertical="center"/>
      <protection hidden="1"/>
    </xf>
    <xf numFmtId="0" fontId="4" fillId="14" borderId="33" xfId="0" applyFont="1" applyFill="1" applyBorder="1" applyAlignment="1" applyProtection="1">
      <alignment horizontal="center" vertical="center"/>
      <protection hidden="1"/>
    </xf>
    <xf numFmtId="0" fontId="4" fillId="14" borderId="43" xfId="0" applyFont="1" applyFill="1" applyBorder="1" applyAlignment="1" applyProtection="1">
      <alignment horizontal="center" vertical="center"/>
      <protection hidden="1"/>
    </xf>
    <xf numFmtId="0" fontId="4" fillId="14" borderId="44" xfId="0" applyFont="1" applyFill="1" applyBorder="1" applyAlignment="1" applyProtection="1">
      <alignment horizontal="center" vertical="center"/>
      <protection hidden="1"/>
    </xf>
    <xf numFmtId="0" fontId="4" fillId="14" borderId="45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/>
    </xf>
    <xf numFmtId="0" fontId="4" fillId="4" borderId="6" xfId="0" applyFont="1" applyFill="1" applyBorder="1" applyAlignment="1" applyProtection="1">
      <alignment horizontal="center" vertical="center" wrapText="1"/>
      <protection hidden="1"/>
    </xf>
    <xf numFmtId="0" fontId="4" fillId="4" borderId="7" xfId="0" applyFont="1" applyFill="1" applyBorder="1" applyAlignment="1" applyProtection="1">
      <alignment horizontal="center" vertical="center" wrapText="1"/>
      <protection hidden="1"/>
    </xf>
    <xf numFmtId="0" fontId="4" fillId="4" borderId="0" xfId="0" applyFont="1" applyFill="1" applyAlignment="1" applyProtection="1">
      <alignment horizontal="center" vertical="center" wrapText="1"/>
      <protection hidden="1"/>
    </xf>
    <xf numFmtId="0" fontId="4" fillId="4" borderId="10" xfId="0" applyFont="1" applyFill="1" applyBorder="1" applyAlignment="1" applyProtection="1">
      <alignment horizontal="center" vertical="center" wrapText="1"/>
      <protection hidden="1"/>
    </xf>
    <xf numFmtId="0" fontId="4" fillId="4" borderId="13" xfId="0" applyFont="1" applyFill="1" applyBorder="1" applyAlignment="1" applyProtection="1">
      <alignment horizontal="center" vertical="center" wrapText="1"/>
      <protection hidden="1"/>
    </xf>
    <xf numFmtId="0" fontId="4" fillId="4" borderId="14" xfId="0" applyFont="1" applyFill="1" applyBorder="1" applyAlignment="1" applyProtection="1">
      <alignment horizontal="center" vertical="center" wrapText="1"/>
      <protection hidden="1"/>
    </xf>
    <xf numFmtId="0" fontId="11" fillId="7" borderId="2" xfId="4" applyFont="1" applyFill="1" applyBorder="1" applyAlignment="1" applyProtection="1">
      <alignment horizontal="center" vertical="center" wrapText="1"/>
      <protection hidden="1"/>
    </xf>
    <xf numFmtId="0" fontId="11" fillId="7" borderId="3" xfId="4" applyFont="1" applyFill="1" applyBorder="1" applyAlignment="1" applyProtection="1">
      <alignment horizontal="center" vertical="center" wrapText="1"/>
      <protection hidden="1"/>
    </xf>
    <xf numFmtId="0" fontId="13" fillId="9" borderId="1" xfId="4" applyFont="1" applyFill="1" applyBorder="1" applyAlignment="1" applyProtection="1">
      <alignment horizontal="center" vertical="center" wrapText="1"/>
      <protection hidden="1"/>
    </xf>
    <xf numFmtId="0" fontId="13" fillId="9" borderId="3" xfId="4" applyFont="1" applyFill="1" applyBorder="1" applyAlignment="1" applyProtection="1">
      <alignment horizontal="center" vertical="center" wrapText="1"/>
      <protection hidden="1"/>
    </xf>
    <xf numFmtId="0" fontId="11" fillId="15" borderId="1" xfId="4" applyFont="1" applyFill="1" applyBorder="1" applyAlignment="1" applyProtection="1">
      <alignment horizontal="center" wrapText="1"/>
      <protection hidden="1"/>
    </xf>
    <xf numFmtId="0" fontId="11" fillId="15" borderId="3" xfId="4" applyFont="1" applyFill="1" applyBorder="1" applyAlignment="1" applyProtection="1">
      <alignment horizontal="center" wrapText="1"/>
      <protection hidden="1"/>
    </xf>
  </cellXfs>
  <cellStyles count="12">
    <cellStyle name="          _x000d__x000a_386grabber=VGA.3GR_x000d__x000a_" xfId="4" xr:uid="{00000000-0005-0000-0000-000000000000}"/>
    <cellStyle name="          _x000d__x000a_386grabber=VGA.3GR_x000d__x000a_ 2" xfId="6" xr:uid="{00000000-0005-0000-0000-000001000000}"/>
    <cellStyle name="Currency_Precios SP checar (2)" xfId="8" xr:uid="{00000000-0005-0000-0000-000002000000}"/>
    <cellStyle name="Millares" xfId="1" builtinId="3"/>
    <cellStyle name="Moneda" xfId="2" builtinId="4"/>
    <cellStyle name="Moneda 2" xfId="11" xr:uid="{1C965CA8-D63A-4C0E-8C0B-ACAEE4D37231}"/>
    <cellStyle name="Normal" xfId="0" builtinId="0"/>
    <cellStyle name="Normal 2" xfId="7" xr:uid="{00000000-0005-0000-0000-000006000000}"/>
    <cellStyle name="Normal 3" xfId="9" xr:uid="{00000000-0005-0000-0000-000007000000}"/>
    <cellStyle name="Normal_Lista de precios Helena - Final" xfId="10" xr:uid="{00000000-0005-0000-0000-000008000000}"/>
    <cellStyle name="Normal_LISTA PRECIOS 2002" xfId="5" xr:uid="{00000000-0005-0000-0000-000009000000}"/>
    <cellStyle name="Porcentaje" xfId="3" builtinId="5"/>
  </cellStyles>
  <dxfs count="197"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  <u val="none"/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strike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699"/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92868</xdr:colOff>
      <xdr:row>15</xdr:row>
      <xdr:rowOff>185738</xdr:rowOff>
    </xdr:from>
    <xdr:ext cx="2785161" cy="1000993"/>
    <xdr:pic>
      <xdr:nvPicPr>
        <xdr:cNvPr id="2" name="5 Imagen" descr="Logotipo Recepción - Studio WELLA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1602" b="7786"/>
        <a:stretch>
          <a:fillRect/>
        </a:stretch>
      </xdr:blipFill>
      <xdr:spPr>
        <a:xfrm>
          <a:off x="2893218" y="3386138"/>
          <a:ext cx="2785161" cy="1000993"/>
        </a:xfrm>
        <a:prstGeom prst="rect">
          <a:avLst/>
        </a:prstGeom>
      </xdr:spPr>
    </xdr:pic>
    <xdr:clientData/>
  </xdr:oneCellAnchor>
  <xdr:oneCellAnchor>
    <xdr:from>
      <xdr:col>0</xdr:col>
      <xdr:colOff>388143</xdr:colOff>
      <xdr:row>11</xdr:row>
      <xdr:rowOff>126205</xdr:rowOff>
    </xdr:from>
    <xdr:ext cx="2202657" cy="616745"/>
    <xdr:pic>
      <xdr:nvPicPr>
        <xdr:cNvPr id="3" name="Imagen 2" descr="Resultado de imagen para BEAUTY 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43" y="2526505"/>
          <a:ext cx="2202657" cy="61674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729"/>
  <sheetViews>
    <sheetView showGridLines="0" tabSelected="1" topLeftCell="A685" zoomScaleNormal="100" workbookViewId="0">
      <selection activeCell="D716" sqref="D716"/>
    </sheetView>
  </sheetViews>
  <sheetFormatPr defaultColWidth="0" defaultRowHeight="15" zeroHeight="1" x14ac:dyDescent="0.2"/>
  <cols>
    <col min="1" max="1" width="15.6015625" customWidth="1"/>
    <col min="2" max="2" width="14.66015625" hidden="1" customWidth="1"/>
    <col min="3" max="3" width="11.1640625" hidden="1" customWidth="1"/>
    <col min="4" max="4" width="78.55859375" customWidth="1"/>
    <col min="5" max="7" width="16.54296875" customWidth="1"/>
    <col min="8" max="8" width="12.5078125" bestFit="1" customWidth="1"/>
    <col min="9" max="12" width="16.54296875" customWidth="1"/>
    <col min="13" max="13" width="14.125" customWidth="1"/>
    <col min="14" max="14" width="11.43359375" hidden="1" customWidth="1"/>
    <col min="15" max="15" width="10.4921875" hidden="1" customWidth="1"/>
    <col min="16" max="16" width="9.55078125" hidden="1" customWidth="1"/>
    <col min="17" max="17" width="11.43359375" hidden="1" customWidth="1"/>
    <col min="18" max="18" width="12.5078125" hidden="1" customWidth="1"/>
    <col min="19" max="19" width="7.53125" hidden="1" customWidth="1"/>
    <col min="20" max="20" width="3.49609375" hidden="1" customWidth="1"/>
    <col min="21" max="16384" width="11.43359375" hidden="1"/>
  </cols>
  <sheetData>
    <row r="1" spans="1:20" ht="26.25" thickBot="1" x14ac:dyDescent="0.25">
      <c r="A1" s="270" t="s">
        <v>676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2"/>
      <c r="N1" s="1"/>
      <c r="O1" s="1"/>
      <c r="P1" s="1"/>
      <c r="Q1" s="1"/>
      <c r="R1" s="1"/>
      <c r="S1" s="590" t="s">
        <v>0</v>
      </c>
      <c r="T1" s="590"/>
    </row>
    <row r="2" spans="1:20" ht="29.85" customHeight="1" thickBot="1" x14ac:dyDescent="0.25">
      <c r="A2" s="2" t="s">
        <v>1</v>
      </c>
      <c r="B2" s="2"/>
      <c r="C2" s="2"/>
      <c r="D2" s="3"/>
      <c r="E2" s="4" t="s">
        <v>2</v>
      </c>
      <c r="F2" s="5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591" t="s">
        <v>9</v>
      </c>
      <c r="M2" s="592"/>
      <c r="N2" s="7"/>
      <c r="O2" s="7"/>
      <c r="P2" s="7"/>
      <c r="Q2" s="7"/>
      <c r="R2" s="7"/>
      <c r="S2" s="8" t="s">
        <v>10</v>
      </c>
      <c r="T2" s="8" t="s">
        <v>11</v>
      </c>
    </row>
    <row r="3" spans="1:20" ht="15.75" thickBot="1" x14ac:dyDescent="0.25">
      <c r="A3" s="9" t="s">
        <v>12</v>
      </c>
      <c r="B3" s="9"/>
      <c r="C3" s="9"/>
      <c r="D3" s="3"/>
      <c r="E3" s="10" t="s">
        <v>13</v>
      </c>
      <c r="F3" s="11">
        <f>SUMIF($B:$B,E3,F:F)</f>
        <v>0</v>
      </c>
      <c r="G3" s="11">
        <f>SUMIF($B:$B,E3,G:G)</f>
        <v>0</v>
      </c>
      <c r="H3" s="11">
        <f>+F3+G3</f>
        <v>0</v>
      </c>
      <c r="I3" s="12">
        <f>SUMIF($B:$B,E3,K:K)</f>
        <v>0</v>
      </c>
      <c r="J3" s="12">
        <f>SUMIF($B:$B,E3,L:L)</f>
        <v>0</v>
      </c>
      <c r="K3" s="12">
        <f>+I3+J3</f>
        <v>0</v>
      </c>
      <c r="L3" s="593"/>
      <c r="M3" s="594"/>
      <c r="N3" s="7"/>
      <c r="O3" s="7"/>
      <c r="P3" s="7"/>
      <c r="Q3" s="7"/>
      <c r="R3" s="7"/>
      <c r="S3" s="7"/>
      <c r="T3" s="7"/>
    </row>
    <row r="4" spans="1:20" ht="15.75" thickBot="1" x14ac:dyDescent="0.25">
      <c r="A4" s="9" t="s">
        <v>14</v>
      </c>
      <c r="B4" s="9"/>
      <c r="C4" s="9"/>
      <c r="D4" s="3"/>
      <c r="E4" s="10" t="s">
        <v>15</v>
      </c>
      <c r="F4" s="11">
        <f>SUMIF($B:$B,E4,F:F)-SUMIFS(F:F,C:C,"Faltante",B:B,E4)</f>
        <v>0</v>
      </c>
      <c r="G4" s="11">
        <f>SUMIF($B:$B,E4,G:G)</f>
        <v>0</v>
      </c>
      <c r="H4" s="11">
        <f t="shared" ref="H4:H28" si="0">+F4+G4</f>
        <v>0</v>
      </c>
      <c r="I4" s="12">
        <f>SUMIF($B:$B,E4,K:K)</f>
        <v>0</v>
      </c>
      <c r="J4" s="12">
        <f>SUMIF($B:$B,E4,L:L)</f>
        <v>0</v>
      </c>
      <c r="K4" s="12">
        <f t="shared" ref="K4:K28" si="1">+I4+J4</f>
        <v>0</v>
      </c>
      <c r="L4" s="593"/>
      <c r="M4" s="594"/>
      <c r="N4" s="7"/>
      <c r="O4" s="7"/>
      <c r="P4" s="7"/>
      <c r="Q4" s="7"/>
      <c r="R4" s="7"/>
      <c r="S4" s="7"/>
      <c r="T4" s="7"/>
    </row>
    <row r="5" spans="1:20" ht="15.75" thickBot="1" x14ac:dyDescent="0.25">
      <c r="A5" s="9" t="s">
        <v>16</v>
      </c>
      <c r="B5" s="9"/>
      <c r="C5" s="13"/>
      <c r="D5" s="14"/>
      <c r="E5" s="10" t="s">
        <v>376</v>
      </c>
      <c r="F5" s="11">
        <f>SUMIF($B:$B,E5,F:F)-SUMIFS(F:F,C:C,"Faltante",B:B,E5)</f>
        <v>0</v>
      </c>
      <c r="G5" s="11">
        <f>SUMIF($B:$B,E5,G:G)</f>
        <v>0</v>
      </c>
      <c r="H5" s="11">
        <f t="shared" si="0"/>
        <v>0</v>
      </c>
      <c r="I5" s="12">
        <f>SUMIF($B:$B,E5,K:K)</f>
        <v>0</v>
      </c>
      <c r="J5" s="12">
        <f>SUMIF($B:$B,E5,L:L)</f>
        <v>0</v>
      </c>
      <c r="K5" s="12">
        <f t="shared" si="1"/>
        <v>0</v>
      </c>
      <c r="L5" s="593"/>
      <c r="M5" s="594"/>
      <c r="N5" s="7"/>
      <c r="O5" s="15" t="s">
        <v>7</v>
      </c>
      <c r="P5" s="16">
        <v>0.16</v>
      </c>
      <c r="Q5" s="16"/>
      <c r="R5" s="16" t="s">
        <v>17</v>
      </c>
      <c r="S5" s="7"/>
      <c r="T5" s="7"/>
    </row>
    <row r="6" spans="1:20" ht="15.75" thickBot="1" x14ac:dyDescent="0.25">
      <c r="A6" s="9" t="s">
        <v>18</v>
      </c>
      <c r="B6" s="9"/>
      <c r="C6" s="13"/>
      <c r="D6" s="3"/>
      <c r="E6" s="10" t="s">
        <v>19</v>
      </c>
      <c r="F6" s="11">
        <f>SUMIF($B:$B,E6,F:F)-SUMIFS(F:F,C:C,"Faltante",B:B,E6)</f>
        <v>0</v>
      </c>
      <c r="G6" s="11">
        <f>SUMIF($B:$B,E6,G:G)</f>
        <v>0</v>
      </c>
      <c r="H6" s="11">
        <f t="shared" si="0"/>
        <v>0</v>
      </c>
      <c r="I6" s="12">
        <f>SUMIF($B:$B,E6,K:K)</f>
        <v>0</v>
      </c>
      <c r="J6" s="12">
        <f>SUMIF($B:$B,E6,L:L)</f>
        <v>0</v>
      </c>
      <c r="K6" s="12">
        <f t="shared" si="1"/>
        <v>0</v>
      </c>
      <c r="L6" s="593"/>
      <c r="M6" s="594"/>
      <c r="N6" s="7"/>
      <c r="O6" s="7"/>
      <c r="P6" s="7"/>
      <c r="Q6" s="7"/>
      <c r="R6" s="7" t="s">
        <v>20</v>
      </c>
      <c r="S6" s="7"/>
      <c r="T6" s="7"/>
    </row>
    <row r="7" spans="1:20" ht="15.75" thickBot="1" x14ac:dyDescent="0.25">
      <c r="A7" s="9" t="s">
        <v>21</v>
      </c>
      <c r="B7" s="9"/>
      <c r="C7" s="13"/>
      <c r="D7" s="3"/>
      <c r="E7" s="10" t="s">
        <v>530</v>
      </c>
      <c r="F7" s="11">
        <f>SUMIF($B:$B,E7,F:F)-SUMIFS(F:F,C:C,"Faltante",B:B,E7)</f>
        <v>0</v>
      </c>
      <c r="G7" s="11">
        <f>SUMIF($B:$B,E7,G:G)</f>
        <v>0</v>
      </c>
      <c r="H7" s="11">
        <f t="shared" si="0"/>
        <v>0</v>
      </c>
      <c r="I7" s="12">
        <f>SUMIF($B:$B,E7,K:K)</f>
        <v>0</v>
      </c>
      <c r="J7" s="12">
        <f>SUMIF($B:$B,E7,L:L)</f>
        <v>0</v>
      </c>
      <c r="K7" s="12">
        <f t="shared" si="1"/>
        <v>0</v>
      </c>
      <c r="L7" s="593"/>
      <c r="M7" s="594"/>
      <c r="N7" s="7"/>
      <c r="O7" s="7" t="s">
        <v>23</v>
      </c>
      <c r="P7" s="17">
        <v>0.3</v>
      </c>
      <c r="Q7" s="17"/>
      <c r="R7" s="18" t="s">
        <v>24</v>
      </c>
      <c r="S7" s="7"/>
      <c r="T7" s="7"/>
    </row>
    <row r="8" spans="1:20" ht="15.75" thickBot="1" x14ac:dyDescent="0.25">
      <c r="A8" s="9" t="s">
        <v>25</v>
      </c>
      <c r="B8" s="9"/>
      <c r="C8" s="19"/>
      <c r="D8" s="268"/>
      <c r="E8" s="10"/>
      <c r="F8" s="11"/>
      <c r="G8" s="11"/>
      <c r="H8" s="11"/>
      <c r="I8" s="12"/>
      <c r="J8" s="12"/>
      <c r="K8" s="12"/>
      <c r="L8" s="593"/>
      <c r="M8" s="594"/>
      <c r="N8" s="7"/>
      <c r="O8" s="7" t="s">
        <v>26</v>
      </c>
      <c r="P8" s="17">
        <v>0.3</v>
      </c>
      <c r="Q8" s="17"/>
      <c r="R8" s="17"/>
      <c r="S8" s="7"/>
      <c r="T8" s="7"/>
    </row>
    <row r="9" spans="1:20" ht="15.75" thickBot="1" x14ac:dyDescent="0.25">
      <c r="A9" s="9" t="s">
        <v>27</v>
      </c>
      <c r="B9" s="20"/>
      <c r="C9" s="20"/>
      <c r="D9" s="257" t="s">
        <v>24</v>
      </c>
      <c r="E9" s="10" t="s">
        <v>28</v>
      </c>
      <c r="F9" s="11">
        <f t="shared" ref="F9:F15" si="2">SUMIF($B:$B,E9,F:F)</f>
        <v>0</v>
      </c>
      <c r="G9" s="11">
        <f t="shared" ref="G9:G15" si="3">SUMIF($B:$B,E9,G:G)</f>
        <v>0</v>
      </c>
      <c r="H9" s="11">
        <f t="shared" si="0"/>
        <v>0</v>
      </c>
      <c r="I9" s="12">
        <f t="shared" ref="I9:I15" si="4">SUMIF($B:$B,E9,K:K)</f>
        <v>0</v>
      </c>
      <c r="J9" s="12">
        <f t="shared" ref="J9:J15" si="5">SUMIF($B:$B,E9,L:L)</f>
        <v>0</v>
      </c>
      <c r="K9" s="12">
        <f t="shared" si="1"/>
        <v>0</v>
      </c>
      <c r="L9" s="593"/>
      <c r="M9" s="594"/>
      <c r="N9" s="7"/>
      <c r="O9" s="7"/>
      <c r="P9" s="17"/>
      <c r="Q9" s="17"/>
      <c r="R9" s="17"/>
      <c r="S9" s="7"/>
      <c r="T9" s="7"/>
    </row>
    <row r="10" spans="1:20" x14ac:dyDescent="0.2">
      <c r="A10" s="7"/>
      <c r="B10" s="7"/>
      <c r="C10" s="7"/>
      <c r="D10" s="7"/>
      <c r="E10" s="10" t="s">
        <v>29</v>
      </c>
      <c r="F10" s="11">
        <f t="shared" si="2"/>
        <v>0</v>
      </c>
      <c r="G10" s="11">
        <f t="shared" si="3"/>
        <v>0</v>
      </c>
      <c r="H10" s="11">
        <f t="shared" si="0"/>
        <v>0</v>
      </c>
      <c r="I10" s="12">
        <f t="shared" si="4"/>
        <v>0</v>
      </c>
      <c r="J10" s="12">
        <f t="shared" si="5"/>
        <v>0</v>
      </c>
      <c r="K10" s="12">
        <f t="shared" si="1"/>
        <v>0</v>
      </c>
      <c r="L10" s="593"/>
      <c r="M10" s="594"/>
      <c r="N10" s="7"/>
      <c r="O10" s="7" t="s">
        <v>30</v>
      </c>
      <c r="P10" s="17">
        <v>0</v>
      </c>
      <c r="Q10" s="17"/>
      <c r="R10" s="17"/>
      <c r="S10" s="7"/>
      <c r="T10" s="7"/>
    </row>
    <row r="11" spans="1:20" x14ac:dyDescent="0.2">
      <c r="A11" s="21"/>
      <c r="B11" s="22"/>
      <c r="C11" s="22"/>
      <c r="D11" s="23"/>
      <c r="E11" s="10" t="s">
        <v>31</v>
      </c>
      <c r="F11" s="11">
        <f t="shared" si="2"/>
        <v>0</v>
      </c>
      <c r="G11" s="11">
        <f t="shared" si="3"/>
        <v>0</v>
      </c>
      <c r="H11" s="11">
        <f t="shared" si="0"/>
        <v>0</v>
      </c>
      <c r="I11" s="12">
        <f t="shared" si="4"/>
        <v>0</v>
      </c>
      <c r="J11" s="12">
        <f t="shared" si="5"/>
        <v>0</v>
      </c>
      <c r="K11" s="12">
        <f t="shared" si="1"/>
        <v>0</v>
      </c>
      <c r="L11" s="593"/>
      <c r="M11" s="594"/>
      <c r="N11" s="7"/>
      <c r="O11" s="7" t="s">
        <v>32</v>
      </c>
      <c r="P11" s="17">
        <v>0</v>
      </c>
      <c r="Q11" s="17"/>
      <c r="R11" s="17"/>
      <c r="S11" s="7"/>
      <c r="T11" s="7"/>
    </row>
    <row r="12" spans="1:20" ht="15.75" thickBot="1" x14ac:dyDescent="0.25">
      <c r="A12" s="21"/>
      <c r="B12" s="22"/>
      <c r="C12" s="22"/>
      <c r="D12" s="23"/>
      <c r="E12" s="10" t="s">
        <v>33</v>
      </c>
      <c r="F12" s="11">
        <f t="shared" si="2"/>
        <v>0</v>
      </c>
      <c r="G12" s="11">
        <f t="shared" si="3"/>
        <v>0</v>
      </c>
      <c r="H12" s="11">
        <f t="shared" si="0"/>
        <v>0</v>
      </c>
      <c r="I12" s="12">
        <f t="shared" si="4"/>
        <v>0</v>
      </c>
      <c r="J12" s="12">
        <f t="shared" si="5"/>
        <v>0</v>
      </c>
      <c r="K12" s="12">
        <f t="shared" si="1"/>
        <v>0</v>
      </c>
      <c r="L12" s="595"/>
      <c r="M12" s="596"/>
      <c r="N12" s="7"/>
      <c r="O12" s="7"/>
      <c r="P12" s="7"/>
      <c r="Q12" s="7"/>
      <c r="R12" s="7"/>
      <c r="S12" s="7"/>
      <c r="T12" s="7"/>
    </row>
    <row r="13" spans="1:20" ht="15.75" thickBot="1" x14ac:dyDescent="0.25">
      <c r="A13" s="21"/>
      <c r="B13" s="22"/>
      <c r="C13" s="22"/>
      <c r="D13" s="23"/>
      <c r="E13" s="10" t="s">
        <v>34</v>
      </c>
      <c r="F13" s="11">
        <f t="shared" si="2"/>
        <v>0</v>
      </c>
      <c r="G13" s="11">
        <f t="shared" si="3"/>
        <v>0</v>
      </c>
      <c r="H13" s="11">
        <f t="shared" si="0"/>
        <v>0</v>
      </c>
      <c r="I13" s="12">
        <f t="shared" si="4"/>
        <v>0</v>
      </c>
      <c r="J13" s="12">
        <f t="shared" si="5"/>
        <v>0</v>
      </c>
      <c r="K13" s="12">
        <f t="shared" si="1"/>
        <v>0</v>
      </c>
      <c r="L13" s="597" t="s">
        <v>35</v>
      </c>
      <c r="M13" s="598"/>
      <c r="N13" s="7"/>
      <c r="O13" s="7" t="s">
        <v>23</v>
      </c>
      <c r="P13" s="17">
        <v>0.3</v>
      </c>
      <c r="Q13" s="17"/>
      <c r="R13" s="17">
        <v>0.3</v>
      </c>
      <c r="S13" s="7"/>
      <c r="T13" s="7"/>
    </row>
    <row r="14" spans="1:20" ht="15.75" thickBot="1" x14ac:dyDescent="0.25">
      <c r="A14" s="21"/>
      <c r="B14" s="22"/>
      <c r="C14" s="22"/>
      <c r="D14" s="23"/>
      <c r="E14" s="10" t="s">
        <v>36</v>
      </c>
      <c r="F14" s="11">
        <f t="shared" si="2"/>
        <v>0</v>
      </c>
      <c r="G14" s="11">
        <f t="shared" si="3"/>
        <v>0</v>
      </c>
      <c r="H14" s="11">
        <f t="shared" si="0"/>
        <v>0</v>
      </c>
      <c r="I14" s="12">
        <f t="shared" si="4"/>
        <v>0</v>
      </c>
      <c r="J14" s="12">
        <f t="shared" si="5"/>
        <v>0</v>
      </c>
      <c r="K14" s="12">
        <f t="shared" si="1"/>
        <v>0</v>
      </c>
      <c r="L14" s="396" t="s">
        <v>37</v>
      </c>
      <c r="M14" s="397" t="s">
        <v>23</v>
      </c>
      <c r="N14" s="7"/>
      <c r="O14" s="7" t="s">
        <v>26</v>
      </c>
      <c r="P14" s="17">
        <v>0.3</v>
      </c>
      <c r="Q14" s="17"/>
      <c r="R14" s="17"/>
      <c r="S14" s="7"/>
      <c r="T14" s="7"/>
    </row>
    <row r="15" spans="1:20" ht="15.75" thickBot="1" x14ac:dyDescent="0.25">
      <c r="A15" s="21"/>
      <c r="B15" s="22"/>
      <c r="C15" s="22"/>
      <c r="D15" s="23"/>
      <c r="E15" s="10" t="s">
        <v>38</v>
      </c>
      <c r="F15" s="11">
        <f t="shared" si="2"/>
        <v>0</v>
      </c>
      <c r="G15" s="11">
        <f t="shared" si="3"/>
        <v>0</v>
      </c>
      <c r="H15" s="11">
        <f t="shared" si="0"/>
        <v>0</v>
      </c>
      <c r="I15" s="12">
        <f t="shared" si="4"/>
        <v>0</v>
      </c>
      <c r="J15" s="12">
        <f t="shared" si="5"/>
        <v>0</v>
      </c>
      <c r="K15" s="12">
        <f t="shared" si="1"/>
        <v>0</v>
      </c>
      <c r="L15" s="398" t="s">
        <v>39</v>
      </c>
      <c r="M15" s="399">
        <v>0.3</v>
      </c>
      <c r="N15" s="7"/>
      <c r="O15" s="7"/>
      <c r="P15" s="17"/>
      <c r="Q15" s="17"/>
      <c r="R15" s="17"/>
      <c r="S15" s="7"/>
      <c r="T15" s="7"/>
    </row>
    <row r="16" spans="1:20" ht="15.75" thickBot="1" x14ac:dyDescent="0.25">
      <c r="A16" s="21"/>
      <c r="B16" s="22"/>
      <c r="C16" s="22"/>
      <c r="D16" s="23"/>
      <c r="E16" s="10"/>
      <c r="F16" s="11"/>
      <c r="G16" s="11"/>
      <c r="H16" s="11"/>
      <c r="I16" s="12"/>
      <c r="J16" s="12"/>
      <c r="K16" s="12"/>
      <c r="L16" s="398"/>
      <c r="M16" s="400"/>
      <c r="N16" s="7"/>
      <c r="O16" s="7"/>
      <c r="P16" s="17"/>
      <c r="Q16" s="17"/>
      <c r="R16" s="17"/>
      <c r="S16" s="7"/>
      <c r="T16" s="7"/>
    </row>
    <row r="17" spans="1:16" ht="15" customHeight="1" thickBot="1" x14ac:dyDescent="0.25">
      <c r="A17" s="21"/>
      <c r="B17" s="22"/>
      <c r="C17" s="22"/>
      <c r="D17" s="23"/>
      <c r="E17" s="10" t="s">
        <v>40</v>
      </c>
      <c r="F17" s="11">
        <f t="shared" ref="F17:F28" si="6">SUMIF($B:$B,E17,F:F)</f>
        <v>0</v>
      </c>
      <c r="G17" s="11">
        <f t="shared" ref="G17:G28" si="7">SUMIF($B:$B,E17,G:G)</f>
        <v>0</v>
      </c>
      <c r="H17" s="11">
        <f t="shared" si="0"/>
        <v>0</v>
      </c>
      <c r="I17" s="12">
        <f t="shared" ref="I17:I28" si="8">SUMIF($B:$B,E17,K:K)</f>
        <v>0</v>
      </c>
      <c r="J17" s="12">
        <f t="shared" ref="J17:J28" si="9">SUMIF($B:$B,E17,L:L)</f>
        <v>0</v>
      </c>
      <c r="K17" s="12">
        <f t="shared" si="1"/>
        <v>0</v>
      </c>
      <c r="L17" s="599" t="s">
        <v>482</v>
      </c>
      <c r="M17" s="600"/>
      <c r="N17" s="7"/>
      <c r="O17" s="7" t="s">
        <v>30</v>
      </c>
      <c r="P17" s="17">
        <v>0</v>
      </c>
    </row>
    <row r="18" spans="1:16" ht="15.75" thickBot="1" x14ac:dyDescent="0.25">
      <c r="A18" s="24"/>
      <c r="B18" s="25"/>
      <c r="C18" s="25"/>
      <c r="D18" s="23"/>
      <c r="E18" s="10" t="s">
        <v>41</v>
      </c>
      <c r="F18" s="11">
        <f t="shared" si="6"/>
        <v>0</v>
      </c>
      <c r="G18" s="11">
        <f t="shared" si="7"/>
        <v>0</v>
      </c>
      <c r="H18" s="11">
        <f t="shared" si="0"/>
        <v>0</v>
      </c>
      <c r="I18" s="12">
        <f t="shared" si="8"/>
        <v>0</v>
      </c>
      <c r="J18" s="12">
        <f t="shared" si="9"/>
        <v>0</v>
      </c>
      <c r="K18" s="12">
        <f t="shared" si="1"/>
        <v>0</v>
      </c>
      <c r="L18" s="401" t="s">
        <v>37</v>
      </c>
      <c r="M18" s="397" t="s">
        <v>23</v>
      </c>
      <c r="N18" s="7"/>
      <c r="O18" s="7" t="s">
        <v>32</v>
      </c>
      <c r="P18" s="17">
        <v>0</v>
      </c>
    </row>
    <row r="19" spans="1:16" ht="15.75" thickBot="1" x14ac:dyDescent="0.25">
      <c r="A19" s="24"/>
      <c r="B19" s="25"/>
      <c r="C19" s="25"/>
      <c r="D19" s="23"/>
      <c r="E19" s="10" t="s">
        <v>42</v>
      </c>
      <c r="F19" s="11">
        <f t="shared" si="6"/>
        <v>0</v>
      </c>
      <c r="G19" s="11">
        <f t="shared" si="7"/>
        <v>0</v>
      </c>
      <c r="H19" s="11">
        <f t="shared" si="0"/>
        <v>0</v>
      </c>
      <c r="I19" s="12">
        <f t="shared" si="8"/>
        <v>0</v>
      </c>
      <c r="J19" s="12">
        <f t="shared" si="9"/>
        <v>0</v>
      </c>
      <c r="K19" s="12">
        <f t="shared" si="1"/>
        <v>0</v>
      </c>
      <c r="L19" s="401"/>
      <c r="M19" s="402"/>
      <c r="N19" s="7">
        <v>10</v>
      </c>
      <c r="O19" s="7"/>
      <c r="P19" s="17"/>
    </row>
    <row r="20" spans="1:16" ht="15.75" thickBot="1" x14ac:dyDescent="0.25">
      <c r="A20" s="24"/>
      <c r="B20" s="25"/>
      <c r="C20" s="25"/>
      <c r="D20" s="23"/>
      <c r="E20" s="10" t="s">
        <v>43</v>
      </c>
      <c r="F20" s="11">
        <f t="shared" si="6"/>
        <v>0</v>
      </c>
      <c r="G20" s="11">
        <f t="shared" si="7"/>
        <v>0</v>
      </c>
      <c r="H20" s="11">
        <f t="shared" si="0"/>
        <v>0</v>
      </c>
      <c r="I20" s="12">
        <f t="shared" si="8"/>
        <v>0</v>
      </c>
      <c r="J20" s="12">
        <f t="shared" si="9"/>
        <v>0</v>
      </c>
      <c r="K20" s="12">
        <f t="shared" si="1"/>
        <v>0</v>
      </c>
      <c r="L20" s="403" t="s">
        <v>39</v>
      </c>
      <c r="M20" s="404">
        <v>0.3</v>
      </c>
      <c r="N20" s="7">
        <v>15</v>
      </c>
      <c r="O20" s="7"/>
      <c r="P20" s="7"/>
    </row>
    <row r="21" spans="1:16" ht="15.75" thickBot="1" x14ac:dyDescent="0.25">
      <c r="A21" s="26"/>
      <c r="B21" s="27"/>
      <c r="C21" s="27"/>
      <c r="D21" s="28"/>
      <c r="E21" s="10" t="s">
        <v>44</v>
      </c>
      <c r="F21" s="11">
        <f t="shared" si="6"/>
        <v>0</v>
      </c>
      <c r="G21" s="11">
        <f t="shared" si="7"/>
        <v>0</v>
      </c>
      <c r="H21" s="11">
        <f t="shared" si="0"/>
        <v>0</v>
      </c>
      <c r="I21" s="12">
        <f t="shared" si="8"/>
        <v>0</v>
      </c>
      <c r="J21" s="12">
        <f t="shared" si="9"/>
        <v>0</v>
      </c>
      <c r="K21" s="12">
        <f t="shared" si="1"/>
        <v>0</v>
      </c>
      <c r="L21" s="601" t="s">
        <v>463</v>
      </c>
      <c r="M21" s="602"/>
      <c r="N21" s="7"/>
      <c r="O21" s="7" t="s">
        <v>23</v>
      </c>
      <c r="P21" s="17">
        <v>0.3</v>
      </c>
    </row>
    <row r="22" spans="1:16" ht="15.75" thickBot="1" x14ac:dyDescent="0.25">
      <c r="A22" s="29"/>
      <c r="B22" s="30"/>
      <c r="C22" s="30"/>
      <c r="D22" s="28"/>
      <c r="E22" s="10" t="s">
        <v>463</v>
      </c>
      <c r="F22" s="11">
        <f t="shared" si="6"/>
        <v>0</v>
      </c>
      <c r="G22" s="11">
        <f t="shared" si="7"/>
        <v>0</v>
      </c>
      <c r="H22" s="11">
        <f t="shared" si="0"/>
        <v>0</v>
      </c>
      <c r="I22" s="12">
        <f t="shared" si="8"/>
        <v>0</v>
      </c>
      <c r="J22" s="12">
        <f t="shared" si="9"/>
        <v>0</v>
      </c>
      <c r="K22" s="12">
        <f t="shared" si="1"/>
        <v>0</v>
      </c>
      <c r="L22" s="401" t="s">
        <v>37</v>
      </c>
      <c r="M22" s="402" t="s">
        <v>23</v>
      </c>
      <c r="N22" s="7"/>
      <c r="O22" s="7" t="s">
        <v>26</v>
      </c>
      <c r="P22" s="17">
        <v>0.3</v>
      </c>
    </row>
    <row r="23" spans="1:16" ht="15.75" thickBot="1" x14ac:dyDescent="0.25">
      <c r="A23" s="29"/>
      <c r="B23" s="30"/>
      <c r="C23" s="30"/>
      <c r="D23" s="28"/>
      <c r="E23" s="10" t="s">
        <v>610</v>
      </c>
      <c r="F23" s="11">
        <f t="shared" si="6"/>
        <v>0</v>
      </c>
      <c r="G23" s="11">
        <f t="shared" si="7"/>
        <v>0</v>
      </c>
      <c r="H23" s="11">
        <f t="shared" ref="H23" si="10">+F23+G23</f>
        <v>0</v>
      </c>
      <c r="I23" s="12">
        <f t="shared" si="8"/>
        <v>0</v>
      </c>
      <c r="J23" s="12">
        <f t="shared" si="9"/>
        <v>0</v>
      </c>
      <c r="K23" s="12">
        <f t="shared" ref="K23" si="11">+I23+J23</f>
        <v>0</v>
      </c>
      <c r="L23" s="401"/>
      <c r="M23" s="402"/>
      <c r="N23" s="7"/>
      <c r="O23" s="7"/>
      <c r="P23" s="17"/>
    </row>
    <row r="24" spans="1:16" ht="15.75" thickBot="1" x14ac:dyDescent="0.25">
      <c r="A24" s="29"/>
      <c r="B24" s="30"/>
      <c r="C24" s="30"/>
      <c r="D24" s="28"/>
      <c r="E24" s="10" t="s">
        <v>45</v>
      </c>
      <c r="F24" s="11">
        <f t="shared" si="6"/>
        <v>0</v>
      </c>
      <c r="G24" s="11">
        <f t="shared" si="7"/>
        <v>0</v>
      </c>
      <c r="H24" s="11">
        <f>+F24+G24</f>
        <v>0</v>
      </c>
      <c r="I24" s="12">
        <f t="shared" si="8"/>
        <v>0</v>
      </c>
      <c r="J24" s="12">
        <f t="shared" si="9"/>
        <v>0</v>
      </c>
      <c r="K24" s="12">
        <f>+I24+J24</f>
        <v>0</v>
      </c>
      <c r="L24" s="401"/>
      <c r="M24" s="402"/>
      <c r="N24" s="7"/>
      <c r="O24" s="7"/>
      <c r="P24" s="17"/>
    </row>
    <row r="25" spans="1:16" ht="15.75" thickBot="1" x14ac:dyDescent="0.25">
      <c r="A25" s="29"/>
      <c r="B25" s="30"/>
      <c r="C25" s="30"/>
      <c r="D25" s="28"/>
      <c r="E25" s="10" t="s">
        <v>46</v>
      </c>
      <c r="F25" s="11">
        <f t="shared" si="6"/>
        <v>0</v>
      </c>
      <c r="G25" s="11">
        <f t="shared" si="7"/>
        <v>0</v>
      </c>
      <c r="H25" s="11">
        <f t="shared" si="0"/>
        <v>0</v>
      </c>
      <c r="I25" s="12">
        <f t="shared" si="8"/>
        <v>0</v>
      </c>
      <c r="J25" s="12">
        <f t="shared" si="9"/>
        <v>0</v>
      </c>
      <c r="K25" s="12">
        <f t="shared" si="1"/>
        <v>0</v>
      </c>
      <c r="L25" s="401"/>
      <c r="M25" s="402"/>
      <c r="N25" s="7"/>
      <c r="O25" s="7"/>
      <c r="P25" s="17"/>
    </row>
    <row r="26" spans="1:16" ht="15.75" thickBot="1" x14ac:dyDescent="0.25">
      <c r="A26" s="29"/>
      <c r="B26" s="30"/>
      <c r="C26" s="30"/>
      <c r="D26" s="28"/>
      <c r="E26" s="10" t="s">
        <v>577</v>
      </c>
      <c r="F26" s="11">
        <f t="shared" si="6"/>
        <v>0</v>
      </c>
      <c r="G26" s="11">
        <f t="shared" si="7"/>
        <v>0</v>
      </c>
      <c r="H26" s="11">
        <f t="shared" si="0"/>
        <v>0</v>
      </c>
      <c r="I26" s="12">
        <f t="shared" si="8"/>
        <v>0</v>
      </c>
      <c r="J26" s="12">
        <f t="shared" si="9"/>
        <v>0</v>
      </c>
      <c r="K26" s="12">
        <f t="shared" si="1"/>
        <v>0</v>
      </c>
      <c r="L26" s="401"/>
      <c r="M26" s="402"/>
      <c r="N26" s="7">
        <v>10</v>
      </c>
      <c r="O26" s="7"/>
      <c r="P26" s="17"/>
    </row>
    <row r="27" spans="1:16" ht="15.75" thickBot="1" x14ac:dyDescent="0.25">
      <c r="A27" s="29"/>
      <c r="B27" s="30"/>
      <c r="C27" s="30"/>
      <c r="D27" s="28"/>
      <c r="E27" s="10" t="s">
        <v>47</v>
      </c>
      <c r="F27" s="11">
        <f t="shared" si="6"/>
        <v>0</v>
      </c>
      <c r="G27" s="11">
        <f t="shared" si="7"/>
        <v>0</v>
      </c>
      <c r="H27" s="11">
        <f t="shared" si="0"/>
        <v>0</v>
      </c>
      <c r="I27" s="12">
        <f t="shared" si="8"/>
        <v>0</v>
      </c>
      <c r="J27" s="12">
        <f t="shared" si="9"/>
        <v>0</v>
      </c>
      <c r="K27" s="12">
        <f t="shared" si="1"/>
        <v>0</v>
      </c>
      <c r="L27" s="403" t="s">
        <v>39</v>
      </c>
      <c r="M27" s="399">
        <v>0.25</v>
      </c>
      <c r="N27" s="7">
        <v>15</v>
      </c>
      <c r="O27" s="7" t="s">
        <v>30</v>
      </c>
      <c r="P27" s="17">
        <v>0</v>
      </c>
    </row>
    <row r="28" spans="1:16" ht="15.75" thickBot="1" x14ac:dyDescent="0.25">
      <c r="A28" s="29"/>
      <c r="B28" s="30"/>
      <c r="C28" s="30"/>
      <c r="D28" s="28"/>
      <c r="E28" s="10" t="s">
        <v>48</v>
      </c>
      <c r="F28" s="11">
        <f t="shared" si="6"/>
        <v>0</v>
      </c>
      <c r="G28" s="11">
        <f t="shared" si="7"/>
        <v>0</v>
      </c>
      <c r="H28" s="11">
        <f t="shared" si="0"/>
        <v>0</v>
      </c>
      <c r="I28" s="12">
        <f t="shared" si="8"/>
        <v>0</v>
      </c>
      <c r="J28" s="12">
        <f t="shared" si="9"/>
        <v>0</v>
      </c>
      <c r="K28" s="12">
        <f t="shared" si="1"/>
        <v>0</v>
      </c>
      <c r="L28" s="405" t="s">
        <v>41</v>
      </c>
      <c r="M28" s="406">
        <v>0.2</v>
      </c>
      <c r="N28" s="7"/>
      <c r="O28" s="7"/>
      <c r="P28" s="17"/>
    </row>
    <row r="29" spans="1:16" ht="15.75" thickBot="1" x14ac:dyDescent="0.25">
      <c r="A29" s="31" t="s">
        <v>49</v>
      </c>
      <c r="B29" s="31"/>
      <c r="C29" s="31"/>
      <c r="D29" s="32"/>
      <c r="E29" s="33" t="s">
        <v>50</v>
      </c>
      <c r="F29" s="34">
        <f>SUM(F3:F28)</f>
        <v>0</v>
      </c>
      <c r="G29" s="35">
        <f>SUM(G3:G28)</f>
        <v>0</v>
      </c>
      <c r="H29" s="35">
        <f>SUM(H3:H28)</f>
        <v>0</v>
      </c>
      <c r="I29" s="36">
        <f>SUM(I3:I28)</f>
        <v>0</v>
      </c>
      <c r="J29" s="37">
        <f>SUM(J3:J28)</f>
        <v>0</v>
      </c>
      <c r="K29" s="36">
        <f>I29+J29</f>
        <v>0</v>
      </c>
      <c r="L29" s="407"/>
      <c r="M29" s="408"/>
      <c r="N29" s="7"/>
      <c r="O29" s="7" t="s">
        <v>51</v>
      </c>
      <c r="P29" s="38">
        <v>0</v>
      </c>
    </row>
    <row r="30" spans="1:16" ht="21.75" thickBot="1" x14ac:dyDescent="0.25">
      <c r="A30" s="39" t="s">
        <v>52</v>
      </c>
      <c r="B30" s="39"/>
      <c r="C30" s="39"/>
      <c r="D30" s="40" t="s">
        <v>53</v>
      </c>
      <c r="E30" s="40" t="s">
        <v>54</v>
      </c>
      <c r="F30" s="40" t="s">
        <v>55</v>
      </c>
      <c r="G30" s="40" t="s">
        <v>56</v>
      </c>
      <c r="H30" s="409" t="s">
        <v>57</v>
      </c>
      <c r="I30" s="410" t="s">
        <v>58</v>
      </c>
      <c r="J30" s="410" t="s">
        <v>59</v>
      </c>
      <c r="K30" s="410" t="s">
        <v>60</v>
      </c>
      <c r="L30" s="410" t="s">
        <v>7</v>
      </c>
      <c r="M30" s="411" t="s">
        <v>61</v>
      </c>
      <c r="N30" s="41"/>
      <c r="O30" s="41"/>
      <c r="P30" s="41"/>
    </row>
    <row r="31" spans="1:16" ht="15.75" thickBot="1" x14ac:dyDescent="0.25">
      <c r="A31" s="42"/>
      <c r="B31" s="42"/>
      <c r="C31" s="42"/>
      <c r="D31" s="43" t="s">
        <v>13</v>
      </c>
      <c r="E31" s="44"/>
      <c r="F31" s="45"/>
      <c r="G31" s="45"/>
      <c r="H31" s="412"/>
      <c r="I31" s="413"/>
      <c r="J31" s="414"/>
      <c r="K31" s="415"/>
      <c r="L31" s="414"/>
      <c r="M31" s="416"/>
      <c r="N31" s="46"/>
      <c r="O31" s="46"/>
      <c r="P31" s="46"/>
    </row>
    <row r="32" spans="1:16" x14ac:dyDescent="0.2">
      <c r="A32" s="309">
        <v>4015600139490</v>
      </c>
      <c r="B32" s="303" t="s">
        <v>13</v>
      </c>
      <c r="C32" s="309" t="s">
        <v>475</v>
      </c>
      <c r="D32" s="310" t="s">
        <v>62</v>
      </c>
      <c r="E32" s="52">
        <v>159.02000000000001</v>
      </c>
      <c r="F32" s="49"/>
      <c r="G32" s="263"/>
      <c r="H32" s="417">
        <f>(F32+G32)</f>
        <v>0</v>
      </c>
      <c r="I32" s="50">
        <f>IF(C32="Faltante",0,E32*F32)</f>
        <v>0</v>
      </c>
      <c r="J32" s="51">
        <f>I32*$M$15</f>
        <v>0</v>
      </c>
      <c r="K32" s="52">
        <f>I32-J32</f>
        <v>0</v>
      </c>
      <c r="L32" s="51">
        <f>K32*$P$5</f>
        <v>0</v>
      </c>
      <c r="M32" s="53">
        <f>K32+L32</f>
        <v>0</v>
      </c>
      <c r="N32" s="41"/>
      <c r="O32" s="41"/>
      <c r="P32" s="41"/>
    </row>
    <row r="33" spans="1:16" x14ac:dyDescent="0.2">
      <c r="A33" s="306">
        <v>4015600139513</v>
      </c>
      <c r="B33" s="303" t="s">
        <v>13</v>
      </c>
      <c r="C33" s="309" t="s">
        <v>475</v>
      </c>
      <c r="D33" s="307" t="s">
        <v>63</v>
      </c>
      <c r="E33" s="52">
        <v>159.02000000000001</v>
      </c>
      <c r="F33" s="56"/>
      <c r="G33" s="264"/>
      <c r="H33" s="417">
        <f t="shared" ref="H33:H95" si="12">(F33+G33)</f>
        <v>0</v>
      </c>
      <c r="I33" s="50">
        <f t="shared" ref="I33:I95" si="13">IF(C33="Faltante",0,E33*F33)</f>
        <v>0</v>
      </c>
      <c r="J33" s="57">
        <f t="shared" ref="J33:J95" si="14">I33*$M$15</f>
        <v>0</v>
      </c>
      <c r="K33" s="58">
        <f t="shared" ref="K33:K95" si="15">I33-J33</f>
        <v>0</v>
      </c>
      <c r="L33" s="51">
        <f t="shared" ref="L33:L95" si="16">K33*$P$5</f>
        <v>0</v>
      </c>
      <c r="M33" s="59">
        <f t="shared" ref="M33:M95" si="17">K33+L33</f>
        <v>0</v>
      </c>
      <c r="N33" s="41"/>
      <c r="O33" s="41"/>
      <c r="P33" s="41"/>
    </row>
    <row r="34" spans="1:16" x14ac:dyDescent="0.2">
      <c r="A34" s="306">
        <v>4015600139520</v>
      </c>
      <c r="B34" s="303" t="s">
        <v>13</v>
      </c>
      <c r="C34" s="309" t="s">
        <v>475</v>
      </c>
      <c r="D34" s="307" t="s">
        <v>64</v>
      </c>
      <c r="E34" s="52">
        <v>159.02000000000001</v>
      </c>
      <c r="F34" s="56"/>
      <c r="G34" s="264"/>
      <c r="H34" s="417">
        <f>(F34+G34)</f>
        <v>0</v>
      </c>
      <c r="I34" s="50">
        <f t="shared" si="13"/>
        <v>0</v>
      </c>
      <c r="J34" s="57">
        <f t="shared" si="14"/>
        <v>0</v>
      </c>
      <c r="K34" s="58">
        <f t="shared" si="15"/>
        <v>0</v>
      </c>
      <c r="L34" s="51">
        <f t="shared" si="16"/>
        <v>0</v>
      </c>
      <c r="M34" s="59">
        <f t="shared" si="17"/>
        <v>0</v>
      </c>
      <c r="N34" s="41"/>
      <c r="O34" s="41"/>
      <c r="P34" s="41"/>
    </row>
    <row r="35" spans="1:16" x14ac:dyDescent="0.2">
      <c r="A35" s="306">
        <v>4015600139995</v>
      </c>
      <c r="B35" s="303" t="s">
        <v>13</v>
      </c>
      <c r="C35" s="309" t="s">
        <v>475</v>
      </c>
      <c r="D35" s="307" t="s">
        <v>65</v>
      </c>
      <c r="E35" s="52">
        <v>159.02000000000001</v>
      </c>
      <c r="F35" s="56"/>
      <c r="G35" s="264"/>
      <c r="H35" s="417">
        <f>(F35+G35)</f>
        <v>0</v>
      </c>
      <c r="I35" s="50">
        <f t="shared" si="13"/>
        <v>0</v>
      </c>
      <c r="J35" s="57">
        <f t="shared" si="14"/>
        <v>0</v>
      </c>
      <c r="K35" s="58">
        <f t="shared" si="15"/>
        <v>0</v>
      </c>
      <c r="L35" s="51">
        <f t="shared" si="16"/>
        <v>0</v>
      </c>
      <c r="M35" s="59">
        <f t="shared" si="17"/>
        <v>0</v>
      </c>
      <c r="N35" s="41"/>
      <c r="O35" s="41"/>
      <c r="P35" s="41"/>
    </row>
    <row r="36" spans="1:16" x14ac:dyDescent="0.2">
      <c r="A36" s="306">
        <v>4015600140199</v>
      </c>
      <c r="B36" s="303" t="s">
        <v>13</v>
      </c>
      <c r="C36" s="309" t="s">
        <v>475</v>
      </c>
      <c r="D36" s="307" t="s">
        <v>66</v>
      </c>
      <c r="E36" s="52">
        <v>159.02000000000001</v>
      </c>
      <c r="F36" s="56"/>
      <c r="G36" s="264"/>
      <c r="H36" s="417">
        <f t="shared" si="12"/>
        <v>0</v>
      </c>
      <c r="I36" s="50">
        <f t="shared" si="13"/>
        <v>0</v>
      </c>
      <c r="J36" s="57">
        <f t="shared" si="14"/>
        <v>0</v>
      </c>
      <c r="K36" s="58">
        <f t="shared" si="15"/>
        <v>0</v>
      </c>
      <c r="L36" s="51">
        <f t="shared" si="16"/>
        <v>0</v>
      </c>
      <c r="M36" s="59">
        <f t="shared" si="17"/>
        <v>0</v>
      </c>
      <c r="N36" s="41"/>
      <c r="O36" s="41"/>
      <c r="P36" s="41"/>
    </row>
    <row r="37" spans="1:16" x14ac:dyDescent="0.2">
      <c r="A37" s="306">
        <v>4015600139537</v>
      </c>
      <c r="B37" s="303" t="s">
        <v>13</v>
      </c>
      <c r="C37" s="309" t="s">
        <v>475</v>
      </c>
      <c r="D37" s="307" t="s">
        <v>67</v>
      </c>
      <c r="E37" s="52">
        <v>159.02000000000001</v>
      </c>
      <c r="F37" s="56"/>
      <c r="G37" s="264"/>
      <c r="H37" s="417">
        <f t="shared" si="12"/>
        <v>0</v>
      </c>
      <c r="I37" s="50">
        <f t="shared" si="13"/>
        <v>0</v>
      </c>
      <c r="J37" s="57">
        <f t="shared" si="14"/>
        <v>0</v>
      </c>
      <c r="K37" s="58">
        <f t="shared" si="15"/>
        <v>0</v>
      </c>
      <c r="L37" s="51">
        <f t="shared" si="16"/>
        <v>0</v>
      </c>
      <c r="M37" s="59">
        <f t="shared" si="17"/>
        <v>0</v>
      </c>
      <c r="N37" s="41"/>
      <c r="O37" s="41"/>
      <c r="P37" s="41"/>
    </row>
    <row r="38" spans="1:16" x14ac:dyDescent="0.2">
      <c r="A38" s="306">
        <v>4015600139704</v>
      </c>
      <c r="B38" s="303" t="s">
        <v>13</v>
      </c>
      <c r="C38" s="309" t="s">
        <v>475</v>
      </c>
      <c r="D38" s="307" t="s">
        <v>68</v>
      </c>
      <c r="E38" s="52">
        <v>159.02000000000001</v>
      </c>
      <c r="F38" s="56"/>
      <c r="G38" s="264"/>
      <c r="H38" s="417">
        <f t="shared" si="12"/>
        <v>0</v>
      </c>
      <c r="I38" s="50">
        <f t="shared" si="13"/>
        <v>0</v>
      </c>
      <c r="J38" s="57">
        <f t="shared" si="14"/>
        <v>0</v>
      </c>
      <c r="K38" s="58">
        <f t="shared" si="15"/>
        <v>0</v>
      </c>
      <c r="L38" s="51">
        <f t="shared" si="16"/>
        <v>0</v>
      </c>
      <c r="M38" s="59">
        <f t="shared" si="17"/>
        <v>0</v>
      </c>
      <c r="N38" s="41"/>
      <c r="O38" s="41"/>
      <c r="P38" s="41"/>
    </row>
    <row r="39" spans="1:16" x14ac:dyDescent="0.2">
      <c r="A39" s="306">
        <v>4015600139803</v>
      </c>
      <c r="B39" s="303" t="s">
        <v>13</v>
      </c>
      <c r="C39" s="309" t="s">
        <v>475</v>
      </c>
      <c r="D39" s="307" t="s">
        <v>69</v>
      </c>
      <c r="E39" s="52">
        <v>159.02000000000001</v>
      </c>
      <c r="F39" s="56"/>
      <c r="G39" s="264"/>
      <c r="H39" s="417">
        <f t="shared" si="12"/>
        <v>0</v>
      </c>
      <c r="I39" s="50">
        <f t="shared" si="13"/>
        <v>0</v>
      </c>
      <c r="J39" s="57">
        <f>I39*$M$15</f>
        <v>0</v>
      </c>
      <c r="K39" s="58">
        <f t="shared" si="15"/>
        <v>0</v>
      </c>
      <c r="L39" s="51">
        <f t="shared" si="16"/>
        <v>0</v>
      </c>
      <c r="M39" s="59">
        <f t="shared" si="17"/>
        <v>0</v>
      </c>
      <c r="N39" s="41"/>
      <c r="O39" s="41"/>
      <c r="P39" s="41"/>
    </row>
    <row r="40" spans="1:16" x14ac:dyDescent="0.2">
      <c r="A40" s="306">
        <v>4015600139988</v>
      </c>
      <c r="B40" s="303" t="s">
        <v>13</v>
      </c>
      <c r="C40" s="309" t="s">
        <v>475</v>
      </c>
      <c r="D40" s="307" t="s">
        <v>70</v>
      </c>
      <c r="E40" s="52">
        <v>159.02000000000001</v>
      </c>
      <c r="F40" s="56"/>
      <c r="G40" s="264"/>
      <c r="H40" s="417">
        <f t="shared" si="12"/>
        <v>0</v>
      </c>
      <c r="I40" s="50">
        <f t="shared" si="13"/>
        <v>0</v>
      </c>
      <c r="J40" s="57">
        <f t="shared" si="14"/>
        <v>0</v>
      </c>
      <c r="K40" s="58">
        <f t="shared" si="15"/>
        <v>0</v>
      </c>
      <c r="L40" s="51">
        <f t="shared" si="16"/>
        <v>0</v>
      </c>
      <c r="M40" s="59">
        <f t="shared" si="17"/>
        <v>0</v>
      </c>
      <c r="N40" s="41"/>
      <c r="O40" s="41"/>
      <c r="P40" s="41"/>
    </row>
    <row r="41" spans="1:16" x14ac:dyDescent="0.2">
      <c r="A41" s="306">
        <v>4015600140007</v>
      </c>
      <c r="B41" s="303" t="s">
        <v>13</v>
      </c>
      <c r="C41" s="309" t="s">
        <v>475</v>
      </c>
      <c r="D41" s="307" t="s">
        <v>71</v>
      </c>
      <c r="E41" s="52">
        <v>159.02000000000001</v>
      </c>
      <c r="F41" s="56"/>
      <c r="G41" s="264"/>
      <c r="H41" s="417">
        <f t="shared" si="12"/>
        <v>0</v>
      </c>
      <c r="I41" s="50">
        <f t="shared" si="13"/>
        <v>0</v>
      </c>
      <c r="J41" s="57">
        <f t="shared" si="14"/>
        <v>0</v>
      </c>
      <c r="K41" s="58">
        <f t="shared" si="15"/>
        <v>0</v>
      </c>
      <c r="L41" s="51">
        <f t="shared" si="16"/>
        <v>0</v>
      </c>
      <c r="M41" s="59">
        <f t="shared" si="17"/>
        <v>0</v>
      </c>
      <c r="N41" s="41"/>
      <c r="O41" s="41"/>
      <c r="P41" s="41"/>
    </row>
    <row r="42" spans="1:16" x14ac:dyDescent="0.2">
      <c r="A42" s="306">
        <v>4015600140151</v>
      </c>
      <c r="B42" s="303" t="s">
        <v>13</v>
      </c>
      <c r="C42" s="309" t="s">
        <v>475</v>
      </c>
      <c r="D42" s="307" t="s">
        <v>72</v>
      </c>
      <c r="E42" s="52">
        <v>159.02000000000001</v>
      </c>
      <c r="F42" s="56"/>
      <c r="G42" s="264"/>
      <c r="H42" s="417">
        <f t="shared" si="12"/>
        <v>0</v>
      </c>
      <c r="I42" s="50">
        <f t="shared" si="13"/>
        <v>0</v>
      </c>
      <c r="J42" s="57">
        <f t="shared" si="14"/>
        <v>0</v>
      </c>
      <c r="K42" s="58">
        <f t="shared" si="15"/>
        <v>0</v>
      </c>
      <c r="L42" s="51">
        <f t="shared" si="16"/>
        <v>0</v>
      </c>
      <c r="M42" s="59">
        <f t="shared" si="17"/>
        <v>0</v>
      </c>
      <c r="N42" s="41"/>
      <c r="O42" s="41"/>
      <c r="P42" s="41"/>
    </row>
    <row r="43" spans="1:16" x14ac:dyDescent="0.2">
      <c r="A43" s="306">
        <v>4015600140212</v>
      </c>
      <c r="B43" s="303" t="s">
        <v>13</v>
      </c>
      <c r="C43" s="309" t="s">
        <v>475</v>
      </c>
      <c r="D43" s="307" t="s">
        <v>73</v>
      </c>
      <c r="E43" s="52">
        <v>159.02000000000001</v>
      </c>
      <c r="F43" s="56"/>
      <c r="G43" s="264"/>
      <c r="H43" s="417">
        <f t="shared" si="12"/>
        <v>0</v>
      </c>
      <c r="I43" s="50">
        <f t="shared" si="13"/>
        <v>0</v>
      </c>
      <c r="J43" s="57">
        <f t="shared" si="14"/>
        <v>0</v>
      </c>
      <c r="K43" s="58">
        <f t="shared" si="15"/>
        <v>0</v>
      </c>
      <c r="L43" s="51">
        <f t="shared" si="16"/>
        <v>0</v>
      </c>
      <c r="M43" s="59">
        <f t="shared" si="17"/>
        <v>0</v>
      </c>
      <c r="N43" s="41"/>
      <c r="O43" s="41"/>
      <c r="P43" s="41"/>
    </row>
    <row r="44" spans="1:16" x14ac:dyDescent="0.2">
      <c r="A44" s="306">
        <v>4015600139544</v>
      </c>
      <c r="B44" s="303" t="s">
        <v>13</v>
      </c>
      <c r="C44" s="309" t="s">
        <v>475</v>
      </c>
      <c r="D44" s="307" t="s">
        <v>74</v>
      </c>
      <c r="E44" s="52">
        <v>159.02000000000001</v>
      </c>
      <c r="F44" s="56"/>
      <c r="G44" s="264"/>
      <c r="H44" s="417">
        <f t="shared" si="12"/>
        <v>0</v>
      </c>
      <c r="I44" s="50">
        <f t="shared" si="13"/>
        <v>0</v>
      </c>
      <c r="J44" s="57">
        <f t="shared" si="14"/>
        <v>0</v>
      </c>
      <c r="K44" s="58">
        <f t="shared" si="15"/>
        <v>0</v>
      </c>
      <c r="L44" s="51">
        <f t="shared" si="16"/>
        <v>0</v>
      </c>
      <c r="M44" s="59">
        <f t="shared" si="17"/>
        <v>0</v>
      </c>
      <c r="N44" s="41"/>
      <c r="O44" s="41"/>
      <c r="P44" s="41"/>
    </row>
    <row r="45" spans="1:16" x14ac:dyDescent="0.2">
      <c r="A45" s="306">
        <v>4015600139674</v>
      </c>
      <c r="B45" s="303" t="s">
        <v>13</v>
      </c>
      <c r="C45" s="309" t="s">
        <v>475</v>
      </c>
      <c r="D45" s="307" t="s">
        <v>75</v>
      </c>
      <c r="E45" s="52">
        <v>159.02000000000001</v>
      </c>
      <c r="F45" s="56"/>
      <c r="G45" s="264"/>
      <c r="H45" s="417">
        <f t="shared" si="12"/>
        <v>0</v>
      </c>
      <c r="I45" s="50">
        <f t="shared" si="13"/>
        <v>0</v>
      </c>
      <c r="J45" s="57">
        <f t="shared" si="14"/>
        <v>0</v>
      </c>
      <c r="K45" s="58">
        <f t="shared" si="15"/>
        <v>0</v>
      </c>
      <c r="L45" s="51">
        <f t="shared" si="16"/>
        <v>0</v>
      </c>
      <c r="M45" s="59">
        <f t="shared" si="17"/>
        <v>0</v>
      </c>
      <c r="N45" s="41"/>
      <c r="O45" s="41"/>
      <c r="P45" s="41"/>
    </row>
    <row r="46" spans="1:16" x14ac:dyDescent="0.2">
      <c r="A46" s="306">
        <v>4015600139711</v>
      </c>
      <c r="B46" s="303" t="s">
        <v>13</v>
      </c>
      <c r="C46" s="309" t="s">
        <v>475</v>
      </c>
      <c r="D46" s="307" t="s">
        <v>76</v>
      </c>
      <c r="E46" s="52">
        <v>159.02000000000001</v>
      </c>
      <c r="F46" s="56"/>
      <c r="G46" s="264"/>
      <c r="H46" s="417">
        <f t="shared" si="12"/>
        <v>0</v>
      </c>
      <c r="I46" s="50">
        <f t="shared" si="13"/>
        <v>0</v>
      </c>
      <c r="J46" s="57">
        <f t="shared" si="14"/>
        <v>0</v>
      </c>
      <c r="K46" s="58">
        <f t="shared" si="15"/>
        <v>0</v>
      </c>
      <c r="L46" s="51">
        <f t="shared" si="16"/>
        <v>0</v>
      </c>
      <c r="M46" s="59">
        <f t="shared" si="17"/>
        <v>0</v>
      </c>
      <c r="N46" s="41"/>
      <c r="O46" s="41"/>
      <c r="P46" s="41"/>
    </row>
    <row r="47" spans="1:16" x14ac:dyDescent="0.2">
      <c r="A47" s="306">
        <v>4015600139773</v>
      </c>
      <c r="B47" s="303" t="s">
        <v>13</v>
      </c>
      <c r="C47" s="309" t="s">
        <v>475</v>
      </c>
      <c r="D47" s="307" t="s">
        <v>77</v>
      </c>
      <c r="E47" s="52">
        <v>159.02000000000001</v>
      </c>
      <c r="F47" s="56"/>
      <c r="G47" s="264"/>
      <c r="H47" s="417">
        <f t="shared" si="12"/>
        <v>0</v>
      </c>
      <c r="I47" s="50">
        <f t="shared" si="13"/>
        <v>0</v>
      </c>
      <c r="J47" s="57">
        <f t="shared" si="14"/>
        <v>0</v>
      </c>
      <c r="K47" s="58">
        <f t="shared" si="15"/>
        <v>0</v>
      </c>
      <c r="L47" s="51">
        <f t="shared" si="16"/>
        <v>0</v>
      </c>
      <c r="M47" s="59">
        <f t="shared" si="17"/>
        <v>0</v>
      </c>
      <c r="N47" s="41"/>
      <c r="O47" s="41"/>
      <c r="P47" s="41"/>
    </row>
    <row r="48" spans="1:16" x14ac:dyDescent="0.2">
      <c r="A48" s="306">
        <v>4015600139810</v>
      </c>
      <c r="B48" s="303" t="s">
        <v>13</v>
      </c>
      <c r="C48" s="309" t="s">
        <v>475</v>
      </c>
      <c r="D48" s="307" t="s">
        <v>78</v>
      </c>
      <c r="E48" s="52">
        <v>159.02000000000001</v>
      </c>
      <c r="F48" s="56"/>
      <c r="G48" s="264"/>
      <c r="H48" s="417">
        <f t="shared" si="12"/>
        <v>0</v>
      </c>
      <c r="I48" s="50">
        <f t="shared" si="13"/>
        <v>0</v>
      </c>
      <c r="J48" s="57">
        <f t="shared" si="14"/>
        <v>0</v>
      </c>
      <c r="K48" s="58">
        <f t="shared" si="15"/>
        <v>0</v>
      </c>
      <c r="L48" s="51">
        <f t="shared" si="16"/>
        <v>0</v>
      </c>
      <c r="M48" s="59">
        <f t="shared" si="17"/>
        <v>0</v>
      </c>
      <c r="N48" s="41"/>
      <c r="O48" s="41"/>
      <c r="P48" s="41"/>
    </row>
    <row r="49" spans="1:16" x14ac:dyDescent="0.2">
      <c r="A49" s="306">
        <v>4015600139926</v>
      </c>
      <c r="B49" s="303" t="s">
        <v>13</v>
      </c>
      <c r="C49" s="309" t="s">
        <v>475</v>
      </c>
      <c r="D49" s="307" t="s">
        <v>79</v>
      </c>
      <c r="E49" s="52">
        <v>159.02000000000001</v>
      </c>
      <c r="F49" s="56"/>
      <c r="G49" s="264"/>
      <c r="H49" s="417">
        <f t="shared" si="12"/>
        <v>0</v>
      </c>
      <c r="I49" s="50">
        <f t="shared" si="13"/>
        <v>0</v>
      </c>
      <c r="J49" s="57">
        <f t="shared" si="14"/>
        <v>0</v>
      </c>
      <c r="K49" s="58">
        <f t="shared" si="15"/>
        <v>0</v>
      </c>
      <c r="L49" s="51">
        <f t="shared" si="16"/>
        <v>0</v>
      </c>
      <c r="M49" s="59">
        <f t="shared" si="17"/>
        <v>0</v>
      </c>
      <c r="N49" s="41"/>
      <c r="O49" s="41"/>
      <c r="P49" s="41"/>
    </row>
    <row r="50" spans="1:16" x14ac:dyDescent="0.2">
      <c r="A50" s="306">
        <v>4015600139957</v>
      </c>
      <c r="B50" s="303" t="s">
        <v>13</v>
      </c>
      <c r="C50" s="309" t="s">
        <v>475</v>
      </c>
      <c r="D50" s="307" t="s">
        <v>80</v>
      </c>
      <c r="E50" s="52">
        <v>159.02000000000001</v>
      </c>
      <c r="F50" s="56"/>
      <c r="G50" s="264"/>
      <c r="H50" s="417">
        <f t="shared" si="12"/>
        <v>0</v>
      </c>
      <c r="I50" s="50">
        <f t="shared" si="13"/>
        <v>0</v>
      </c>
      <c r="J50" s="57">
        <f t="shared" si="14"/>
        <v>0</v>
      </c>
      <c r="K50" s="58">
        <f t="shared" si="15"/>
        <v>0</v>
      </c>
      <c r="L50" s="51">
        <f t="shared" si="16"/>
        <v>0</v>
      </c>
      <c r="M50" s="59">
        <f t="shared" si="17"/>
        <v>0</v>
      </c>
      <c r="N50" s="41"/>
      <c r="O50" s="41"/>
      <c r="P50" s="41"/>
    </row>
    <row r="51" spans="1:16" x14ac:dyDescent="0.2">
      <c r="A51" s="306">
        <v>4015600140090</v>
      </c>
      <c r="B51" s="303" t="s">
        <v>13</v>
      </c>
      <c r="C51" s="309" t="s">
        <v>475</v>
      </c>
      <c r="D51" s="307" t="s">
        <v>81</v>
      </c>
      <c r="E51" s="52">
        <v>159.02000000000001</v>
      </c>
      <c r="F51" s="56"/>
      <c r="G51" s="264"/>
      <c r="H51" s="417">
        <f t="shared" si="12"/>
        <v>0</v>
      </c>
      <c r="I51" s="50">
        <f t="shared" si="13"/>
        <v>0</v>
      </c>
      <c r="J51" s="57">
        <f t="shared" si="14"/>
        <v>0</v>
      </c>
      <c r="K51" s="58">
        <f t="shared" si="15"/>
        <v>0</v>
      </c>
      <c r="L51" s="51">
        <f t="shared" si="16"/>
        <v>0</v>
      </c>
      <c r="M51" s="59">
        <f t="shared" si="17"/>
        <v>0</v>
      </c>
      <c r="N51" s="41"/>
      <c r="O51" s="41"/>
      <c r="P51" s="41"/>
    </row>
    <row r="52" spans="1:16" x14ac:dyDescent="0.2">
      <c r="A52" s="306">
        <v>4015600140168</v>
      </c>
      <c r="B52" s="303" t="s">
        <v>13</v>
      </c>
      <c r="C52" s="309" t="s">
        <v>475</v>
      </c>
      <c r="D52" s="307" t="s">
        <v>82</v>
      </c>
      <c r="E52" s="52">
        <v>159.02000000000001</v>
      </c>
      <c r="F52" s="56"/>
      <c r="G52" s="264"/>
      <c r="H52" s="417">
        <f t="shared" si="12"/>
        <v>0</v>
      </c>
      <c r="I52" s="50">
        <f t="shared" si="13"/>
        <v>0</v>
      </c>
      <c r="J52" s="57">
        <f t="shared" si="14"/>
        <v>0</v>
      </c>
      <c r="K52" s="58">
        <f t="shared" si="15"/>
        <v>0</v>
      </c>
      <c r="L52" s="51">
        <f t="shared" si="16"/>
        <v>0</v>
      </c>
      <c r="M52" s="59">
        <f t="shared" si="17"/>
        <v>0</v>
      </c>
      <c r="N52" s="41"/>
      <c r="O52" s="41"/>
      <c r="P52" s="41"/>
    </row>
    <row r="53" spans="1:16" x14ac:dyDescent="0.2">
      <c r="A53" s="306">
        <v>4015600140236</v>
      </c>
      <c r="B53" s="303" t="s">
        <v>13</v>
      </c>
      <c r="C53" s="309" t="s">
        <v>475</v>
      </c>
      <c r="D53" s="307" t="s">
        <v>83</v>
      </c>
      <c r="E53" s="52">
        <v>159.02000000000001</v>
      </c>
      <c r="F53" s="56"/>
      <c r="G53" s="264"/>
      <c r="H53" s="417">
        <f t="shared" si="12"/>
        <v>0</v>
      </c>
      <c r="I53" s="50">
        <f t="shared" si="13"/>
        <v>0</v>
      </c>
      <c r="J53" s="57">
        <f t="shared" si="14"/>
        <v>0</v>
      </c>
      <c r="K53" s="58">
        <f t="shared" si="15"/>
        <v>0</v>
      </c>
      <c r="L53" s="51">
        <f t="shared" si="16"/>
        <v>0</v>
      </c>
      <c r="M53" s="59">
        <f t="shared" si="17"/>
        <v>0</v>
      </c>
      <c r="N53" s="41"/>
      <c r="O53" s="41"/>
      <c r="P53" s="41"/>
    </row>
    <row r="54" spans="1:16" x14ac:dyDescent="0.2">
      <c r="A54" s="306">
        <v>4015600140052</v>
      </c>
      <c r="B54" s="303" t="s">
        <v>13</v>
      </c>
      <c r="C54" s="309" t="s">
        <v>475</v>
      </c>
      <c r="D54" s="307" t="s">
        <v>84</v>
      </c>
      <c r="E54" s="52">
        <v>159.02000000000001</v>
      </c>
      <c r="F54" s="56"/>
      <c r="G54" s="264"/>
      <c r="H54" s="417">
        <f t="shared" si="12"/>
        <v>0</v>
      </c>
      <c r="I54" s="50">
        <f t="shared" si="13"/>
        <v>0</v>
      </c>
      <c r="J54" s="57">
        <f t="shared" si="14"/>
        <v>0</v>
      </c>
      <c r="K54" s="58">
        <f t="shared" si="15"/>
        <v>0</v>
      </c>
      <c r="L54" s="51">
        <f t="shared" si="16"/>
        <v>0</v>
      </c>
      <c r="M54" s="59">
        <f t="shared" si="17"/>
        <v>0</v>
      </c>
      <c r="N54" s="41"/>
      <c r="O54" s="41"/>
      <c r="P54" s="41"/>
    </row>
    <row r="55" spans="1:16" x14ac:dyDescent="0.2">
      <c r="A55" s="306">
        <v>4015600140120</v>
      </c>
      <c r="B55" s="303" t="s">
        <v>13</v>
      </c>
      <c r="C55" s="309" t="s">
        <v>475</v>
      </c>
      <c r="D55" s="307" t="s">
        <v>85</v>
      </c>
      <c r="E55" s="52">
        <v>159.02000000000001</v>
      </c>
      <c r="F55" s="56"/>
      <c r="G55" s="264"/>
      <c r="H55" s="417">
        <f t="shared" si="12"/>
        <v>0</v>
      </c>
      <c r="I55" s="50">
        <f t="shared" si="13"/>
        <v>0</v>
      </c>
      <c r="J55" s="57">
        <f t="shared" si="14"/>
        <v>0</v>
      </c>
      <c r="K55" s="58">
        <f t="shared" si="15"/>
        <v>0</v>
      </c>
      <c r="L55" s="51">
        <f t="shared" si="16"/>
        <v>0</v>
      </c>
      <c r="M55" s="59">
        <f t="shared" si="17"/>
        <v>0</v>
      </c>
      <c r="N55" s="41"/>
      <c r="O55" s="41"/>
      <c r="P55" s="41"/>
    </row>
    <row r="56" spans="1:16" x14ac:dyDescent="0.2">
      <c r="A56" s="306">
        <v>4015600139568</v>
      </c>
      <c r="B56" s="303" t="s">
        <v>13</v>
      </c>
      <c r="C56" s="309" t="s">
        <v>475</v>
      </c>
      <c r="D56" s="307" t="s">
        <v>86</v>
      </c>
      <c r="E56" s="52">
        <v>159.02000000000001</v>
      </c>
      <c r="F56" s="56"/>
      <c r="G56" s="264"/>
      <c r="H56" s="417">
        <f t="shared" si="12"/>
        <v>0</v>
      </c>
      <c r="I56" s="50">
        <f t="shared" si="13"/>
        <v>0</v>
      </c>
      <c r="J56" s="57">
        <f t="shared" si="14"/>
        <v>0</v>
      </c>
      <c r="K56" s="58">
        <f t="shared" si="15"/>
        <v>0</v>
      </c>
      <c r="L56" s="51">
        <f t="shared" si="16"/>
        <v>0</v>
      </c>
      <c r="M56" s="59">
        <f t="shared" si="17"/>
        <v>0</v>
      </c>
      <c r="N56" s="41"/>
      <c r="O56" s="41"/>
      <c r="P56" s="41"/>
    </row>
    <row r="57" spans="1:16" x14ac:dyDescent="0.2">
      <c r="A57" s="306">
        <v>4015600139605</v>
      </c>
      <c r="B57" s="303" t="s">
        <v>13</v>
      </c>
      <c r="C57" s="309" t="s">
        <v>475</v>
      </c>
      <c r="D57" s="307" t="s">
        <v>87</v>
      </c>
      <c r="E57" s="52">
        <v>159.02000000000001</v>
      </c>
      <c r="F57" s="56"/>
      <c r="G57" s="264"/>
      <c r="H57" s="417">
        <f t="shared" si="12"/>
        <v>0</v>
      </c>
      <c r="I57" s="50">
        <f t="shared" si="13"/>
        <v>0</v>
      </c>
      <c r="J57" s="57">
        <f t="shared" si="14"/>
        <v>0</v>
      </c>
      <c r="K57" s="58">
        <f t="shared" si="15"/>
        <v>0</v>
      </c>
      <c r="L57" s="51">
        <f t="shared" si="16"/>
        <v>0</v>
      </c>
      <c r="M57" s="59">
        <f t="shared" si="17"/>
        <v>0</v>
      </c>
      <c r="N57" s="41"/>
      <c r="O57" s="41"/>
      <c r="P57" s="41"/>
    </row>
    <row r="58" spans="1:16" x14ac:dyDescent="0.2">
      <c r="A58" s="306">
        <v>4015600139643</v>
      </c>
      <c r="B58" s="303" t="s">
        <v>13</v>
      </c>
      <c r="C58" s="309" t="s">
        <v>475</v>
      </c>
      <c r="D58" s="307" t="s">
        <v>88</v>
      </c>
      <c r="E58" s="52">
        <v>159.02000000000001</v>
      </c>
      <c r="F58" s="56"/>
      <c r="G58" s="264"/>
      <c r="H58" s="417">
        <f t="shared" si="12"/>
        <v>0</v>
      </c>
      <c r="I58" s="50">
        <f t="shared" si="13"/>
        <v>0</v>
      </c>
      <c r="J58" s="57">
        <f t="shared" si="14"/>
        <v>0</v>
      </c>
      <c r="K58" s="58">
        <f t="shared" si="15"/>
        <v>0</v>
      </c>
      <c r="L58" s="51">
        <f t="shared" si="16"/>
        <v>0</v>
      </c>
      <c r="M58" s="59">
        <f t="shared" si="17"/>
        <v>0</v>
      </c>
      <c r="N58" s="41"/>
      <c r="O58" s="41"/>
      <c r="P58" s="41"/>
    </row>
    <row r="59" spans="1:16" x14ac:dyDescent="0.2">
      <c r="A59" s="306">
        <v>4015600139681</v>
      </c>
      <c r="B59" s="303" t="s">
        <v>13</v>
      </c>
      <c r="C59" s="309" t="s">
        <v>475</v>
      </c>
      <c r="D59" s="307" t="s">
        <v>89</v>
      </c>
      <c r="E59" s="52">
        <v>159.02000000000001</v>
      </c>
      <c r="F59" s="56"/>
      <c r="G59" s="264"/>
      <c r="H59" s="417">
        <f t="shared" si="12"/>
        <v>0</v>
      </c>
      <c r="I59" s="50">
        <f t="shared" si="13"/>
        <v>0</v>
      </c>
      <c r="J59" s="57">
        <f t="shared" si="14"/>
        <v>0</v>
      </c>
      <c r="K59" s="58">
        <f t="shared" si="15"/>
        <v>0</v>
      </c>
      <c r="L59" s="51">
        <f t="shared" si="16"/>
        <v>0</v>
      </c>
      <c r="M59" s="59">
        <f t="shared" si="17"/>
        <v>0</v>
      </c>
      <c r="N59" s="41"/>
      <c r="O59" s="41"/>
      <c r="P59" s="41"/>
    </row>
    <row r="60" spans="1:16" x14ac:dyDescent="0.2">
      <c r="A60" s="306">
        <v>4015600139728</v>
      </c>
      <c r="B60" s="303" t="s">
        <v>13</v>
      </c>
      <c r="C60" s="309" t="s">
        <v>475</v>
      </c>
      <c r="D60" s="307" t="s">
        <v>90</v>
      </c>
      <c r="E60" s="52">
        <v>159.02000000000001</v>
      </c>
      <c r="F60" s="56"/>
      <c r="G60" s="264"/>
      <c r="H60" s="417">
        <f t="shared" si="12"/>
        <v>0</v>
      </c>
      <c r="I60" s="50">
        <f t="shared" si="13"/>
        <v>0</v>
      </c>
      <c r="J60" s="57">
        <f t="shared" si="14"/>
        <v>0</v>
      </c>
      <c r="K60" s="58">
        <f t="shared" si="15"/>
        <v>0</v>
      </c>
      <c r="L60" s="51">
        <f t="shared" si="16"/>
        <v>0</v>
      </c>
      <c r="M60" s="59">
        <f t="shared" si="17"/>
        <v>0</v>
      </c>
      <c r="N60" s="41"/>
      <c r="O60" s="41"/>
      <c r="P60" s="41"/>
    </row>
    <row r="61" spans="1:16" x14ac:dyDescent="0.2">
      <c r="A61" s="306">
        <v>4015600062378</v>
      </c>
      <c r="B61" s="303" t="s">
        <v>13</v>
      </c>
      <c r="C61" s="309" t="s">
        <v>475</v>
      </c>
      <c r="D61" s="307" t="s">
        <v>91</v>
      </c>
      <c r="E61" s="52">
        <v>159.02000000000001</v>
      </c>
      <c r="F61" s="56"/>
      <c r="G61" s="264"/>
      <c r="H61" s="417">
        <f t="shared" si="12"/>
        <v>0</v>
      </c>
      <c r="I61" s="50">
        <f t="shared" si="13"/>
        <v>0</v>
      </c>
      <c r="J61" s="57">
        <f t="shared" si="14"/>
        <v>0</v>
      </c>
      <c r="K61" s="58">
        <f t="shared" si="15"/>
        <v>0</v>
      </c>
      <c r="L61" s="51">
        <f t="shared" si="16"/>
        <v>0</v>
      </c>
      <c r="M61" s="59">
        <f t="shared" si="17"/>
        <v>0</v>
      </c>
      <c r="N61" s="41"/>
      <c r="O61" s="41"/>
      <c r="P61" s="41"/>
    </row>
    <row r="62" spans="1:16" x14ac:dyDescent="0.2">
      <c r="A62" s="330">
        <v>3614226771155</v>
      </c>
      <c r="B62" s="303" t="s">
        <v>13</v>
      </c>
      <c r="C62" s="309" t="s">
        <v>475</v>
      </c>
      <c r="D62" s="329" t="s">
        <v>559</v>
      </c>
      <c r="E62" s="52">
        <v>159.02000000000001</v>
      </c>
      <c r="F62" s="56"/>
      <c r="G62" s="264"/>
      <c r="H62" s="417">
        <f t="shared" si="12"/>
        <v>0</v>
      </c>
      <c r="I62" s="50">
        <f t="shared" si="13"/>
        <v>0</v>
      </c>
      <c r="J62" s="57">
        <f t="shared" si="14"/>
        <v>0</v>
      </c>
      <c r="K62" s="58">
        <f t="shared" si="15"/>
        <v>0</v>
      </c>
      <c r="L62" s="51">
        <f t="shared" si="16"/>
        <v>0</v>
      </c>
      <c r="M62" s="59">
        <f t="shared" si="17"/>
        <v>0</v>
      </c>
      <c r="N62" s="41"/>
      <c r="O62" s="41"/>
      <c r="P62" s="41"/>
    </row>
    <row r="63" spans="1:16" x14ac:dyDescent="0.2">
      <c r="A63" s="306">
        <v>4015600139780</v>
      </c>
      <c r="B63" s="303" t="s">
        <v>13</v>
      </c>
      <c r="C63" s="309" t="s">
        <v>475</v>
      </c>
      <c r="D63" s="307" t="s">
        <v>92</v>
      </c>
      <c r="E63" s="52">
        <v>159.02000000000001</v>
      </c>
      <c r="F63" s="56"/>
      <c r="G63" s="264"/>
      <c r="H63" s="417">
        <f t="shared" si="12"/>
        <v>0</v>
      </c>
      <c r="I63" s="50">
        <f t="shared" si="13"/>
        <v>0</v>
      </c>
      <c r="J63" s="57">
        <f t="shared" si="14"/>
        <v>0</v>
      </c>
      <c r="K63" s="58">
        <f t="shared" si="15"/>
        <v>0</v>
      </c>
      <c r="L63" s="51">
        <f t="shared" si="16"/>
        <v>0</v>
      </c>
      <c r="M63" s="59">
        <f t="shared" si="17"/>
        <v>0</v>
      </c>
      <c r="N63" s="41"/>
      <c r="O63" s="41"/>
      <c r="P63" s="41"/>
    </row>
    <row r="64" spans="1:16" x14ac:dyDescent="0.2">
      <c r="A64" s="306">
        <v>4015600139827</v>
      </c>
      <c r="B64" s="303" t="s">
        <v>13</v>
      </c>
      <c r="C64" s="309" t="s">
        <v>475</v>
      </c>
      <c r="D64" s="307" t="s">
        <v>93</v>
      </c>
      <c r="E64" s="52">
        <v>159.02000000000001</v>
      </c>
      <c r="F64" s="56"/>
      <c r="G64" s="264"/>
      <c r="H64" s="417">
        <f t="shared" si="12"/>
        <v>0</v>
      </c>
      <c r="I64" s="50">
        <f t="shared" si="13"/>
        <v>0</v>
      </c>
      <c r="J64" s="57">
        <f t="shared" si="14"/>
        <v>0</v>
      </c>
      <c r="K64" s="58">
        <f t="shared" si="15"/>
        <v>0</v>
      </c>
      <c r="L64" s="51">
        <f t="shared" si="16"/>
        <v>0</v>
      </c>
      <c r="M64" s="59">
        <f t="shared" si="17"/>
        <v>0</v>
      </c>
      <c r="N64" s="41"/>
      <c r="O64" s="41"/>
      <c r="P64" s="41"/>
    </row>
    <row r="65" spans="1:16" x14ac:dyDescent="0.2">
      <c r="A65" s="330">
        <v>99350152416</v>
      </c>
      <c r="B65" s="303" t="s">
        <v>13</v>
      </c>
      <c r="C65" s="309" t="s">
        <v>475</v>
      </c>
      <c r="D65" s="329" t="s">
        <v>560</v>
      </c>
      <c r="E65" s="52">
        <v>159.02000000000001</v>
      </c>
      <c r="F65" s="56"/>
      <c r="G65" s="264"/>
      <c r="H65" s="417">
        <f t="shared" si="12"/>
        <v>0</v>
      </c>
      <c r="I65" s="50">
        <f t="shared" si="13"/>
        <v>0</v>
      </c>
      <c r="J65" s="57">
        <f t="shared" si="14"/>
        <v>0</v>
      </c>
      <c r="K65" s="58">
        <f t="shared" si="15"/>
        <v>0</v>
      </c>
      <c r="L65" s="51">
        <f t="shared" si="16"/>
        <v>0</v>
      </c>
      <c r="M65" s="59">
        <f t="shared" si="17"/>
        <v>0</v>
      </c>
      <c r="N65" s="41"/>
      <c r="O65" s="41"/>
      <c r="P65" s="41"/>
    </row>
    <row r="66" spans="1:16" x14ac:dyDescent="0.2">
      <c r="A66" s="306">
        <v>4015600139865</v>
      </c>
      <c r="B66" s="303" t="s">
        <v>13</v>
      </c>
      <c r="C66" s="309" t="s">
        <v>475</v>
      </c>
      <c r="D66" s="307" t="s">
        <v>94</v>
      </c>
      <c r="E66" s="52">
        <v>159.02000000000001</v>
      </c>
      <c r="F66" s="56"/>
      <c r="G66" s="264"/>
      <c r="H66" s="417">
        <f t="shared" si="12"/>
        <v>0</v>
      </c>
      <c r="I66" s="50">
        <f t="shared" si="13"/>
        <v>0</v>
      </c>
      <c r="J66" s="57">
        <f t="shared" si="14"/>
        <v>0</v>
      </c>
      <c r="K66" s="58">
        <f t="shared" si="15"/>
        <v>0</v>
      </c>
      <c r="L66" s="51">
        <f t="shared" si="16"/>
        <v>0</v>
      </c>
      <c r="M66" s="59">
        <f t="shared" si="17"/>
        <v>0</v>
      </c>
      <c r="N66" s="41"/>
      <c r="O66" s="41"/>
      <c r="P66" s="41"/>
    </row>
    <row r="67" spans="1:16" x14ac:dyDescent="0.2">
      <c r="A67" s="306">
        <v>4015600139933</v>
      </c>
      <c r="B67" s="303" t="s">
        <v>13</v>
      </c>
      <c r="C67" s="309" t="s">
        <v>475</v>
      </c>
      <c r="D67" s="307" t="s">
        <v>95</v>
      </c>
      <c r="E67" s="52">
        <v>159.02000000000001</v>
      </c>
      <c r="F67" s="56"/>
      <c r="G67" s="264"/>
      <c r="H67" s="417">
        <f t="shared" si="12"/>
        <v>0</v>
      </c>
      <c r="I67" s="50">
        <f t="shared" si="13"/>
        <v>0</v>
      </c>
      <c r="J67" s="57">
        <f t="shared" si="14"/>
        <v>0</v>
      </c>
      <c r="K67" s="58">
        <f t="shared" si="15"/>
        <v>0</v>
      </c>
      <c r="L67" s="51">
        <f t="shared" si="16"/>
        <v>0</v>
      </c>
      <c r="M67" s="59">
        <f t="shared" si="17"/>
        <v>0</v>
      </c>
      <c r="N67" s="41"/>
      <c r="O67" s="41"/>
      <c r="P67" s="41"/>
    </row>
    <row r="68" spans="1:16" x14ac:dyDescent="0.2">
      <c r="A68" s="306">
        <v>4015600139964</v>
      </c>
      <c r="B68" s="303" t="s">
        <v>13</v>
      </c>
      <c r="C68" s="309" t="s">
        <v>475</v>
      </c>
      <c r="D68" s="307" t="s">
        <v>96</v>
      </c>
      <c r="E68" s="52">
        <v>159.02000000000001</v>
      </c>
      <c r="F68" s="56"/>
      <c r="G68" s="264"/>
      <c r="H68" s="417">
        <f t="shared" si="12"/>
        <v>0</v>
      </c>
      <c r="I68" s="50">
        <f t="shared" si="13"/>
        <v>0</v>
      </c>
      <c r="J68" s="57">
        <f t="shared" si="14"/>
        <v>0</v>
      </c>
      <c r="K68" s="58">
        <f t="shared" si="15"/>
        <v>0</v>
      </c>
      <c r="L68" s="51">
        <f t="shared" si="16"/>
        <v>0</v>
      </c>
      <c r="M68" s="59">
        <f t="shared" si="17"/>
        <v>0</v>
      </c>
      <c r="N68" s="41"/>
      <c r="O68" s="41"/>
      <c r="P68" s="41"/>
    </row>
    <row r="69" spans="1:16" x14ac:dyDescent="0.2">
      <c r="A69" s="306">
        <v>4015600140106</v>
      </c>
      <c r="B69" s="303" t="s">
        <v>13</v>
      </c>
      <c r="C69" s="309" t="s">
        <v>475</v>
      </c>
      <c r="D69" s="307" t="s">
        <v>97</v>
      </c>
      <c r="E69" s="52">
        <v>159.02000000000001</v>
      </c>
      <c r="F69" s="56"/>
      <c r="G69" s="264"/>
      <c r="H69" s="417">
        <f t="shared" si="12"/>
        <v>0</v>
      </c>
      <c r="I69" s="50">
        <f t="shared" si="13"/>
        <v>0</v>
      </c>
      <c r="J69" s="57">
        <f t="shared" si="14"/>
        <v>0</v>
      </c>
      <c r="K69" s="58">
        <f t="shared" si="15"/>
        <v>0</v>
      </c>
      <c r="L69" s="51">
        <f t="shared" si="16"/>
        <v>0</v>
      </c>
      <c r="M69" s="59">
        <f t="shared" si="17"/>
        <v>0</v>
      </c>
      <c r="N69" s="41"/>
      <c r="O69" s="41"/>
      <c r="P69" s="41"/>
    </row>
    <row r="70" spans="1:16" x14ac:dyDescent="0.2">
      <c r="A70" s="306">
        <v>4015600140175</v>
      </c>
      <c r="B70" s="303" t="s">
        <v>13</v>
      </c>
      <c r="C70" s="309" t="s">
        <v>475</v>
      </c>
      <c r="D70" s="307" t="s">
        <v>98</v>
      </c>
      <c r="E70" s="52">
        <v>159.02000000000001</v>
      </c>
      <c r="F70" s="56"/>
      <c r="G70" s="264"/>
      <c r="H70" s="417">
        <f t="shared" si="12"/>
        <v>0</v>
      </c>
      <c r="I70" s="50">
        <f t="shared" si="13"/>
        <v>0</v>
      </c>
      <c r="J70" s="57">
        <f t="shared" si="14"/>
        <v>0</v>
      </c>
      <c r="K70" s="58">
        <f t="shared" si="15"/>
        <v>0</v>
      </c>
      <c r="L70" s="51">
        <f t="shared" si="16"/>
        <v>0</v>
      </c>
      <c r="M70" s="59">
        <f t="shared" si="17"/>
        <v>0</v>
      </c>
      <c r="N70" s="41"/>
      <c r="O70" s="41"/>
      <c r="P70" s="41"/>
    </row>
    <row r="71" spans="1:16" x14ac:dyDescent="0.2">
      <c r="A71" s="306">
        <v>4015600140243</v>
      </c>
      <c r="B71" s="303" t="s">
        <v>13</v>
      </c>
      <c r="C71" s="309" t="s">
        <v>475</v>
      </c>
      <c r="D71" s="307" t="s">
        <v>99</v>
      </c>
      <c r="E71" s="52">
        <v>159.02000000000001</v>
      </c>
      <c r="F71" s="56"/>
      <c r="G71" s="264"/>
      <c r="H71" s="417">
        <f t="shared" si="12"/>
        <v>0</v>
      </c>
      <c r="I71" s="50">
        <f t="shared" si="13"/>
        <v>0</v>
      </c>
      <c r="J71" s="57">
        <f t="shared" si="14"/>
        <v>0</v>
      </c>
      <c r="K71" s="58">
        <f t="shared" si="15"/>
        <v>0</v>
      </c>
      <c r="L71" s="51">
        <f t="shared" si="16"/>
        <v>0</v>
      </c>
      <c r="M71" s="59">
        <f t="shared" si="17"/>
        <v>0</v>
      </c>
      <c r="N71" s="41"/>
      <c r="O71" s="41"/>
      <c r="P71" s="41"/>
    </row>
    <row r="72" spans="1:16" x14ac:dyDescent="0.2">
      <c r="A72" s="306">
        <v>4015600140038</v>
      </c>
      <c r="B72" s="303" t="s">
        <v>13</v>
      </c>
      <c r="C72" s="309" t="s">
        <v>475</v>
      </c>
      <c r="D72" s="307" t="s">
        <v>100</v>
      </c>
      <c r="E72" s="52">
        <v>159.02000000000001</v>
      </c>
      <c r="F72" s="56"/>
      <c r="G72" s="264"/>
      <c r="H72" s="417">
        <f t="shared" si="12"/>
        <v>0</v>
      </c>
      <c r="I72" s="50">
        <f t="shared" si="13"/>
        <v>0</v>
      </c>
      <c r="J72" s="57">
        <f t="shared" si="14"/>
        <v>0</v>
      </c>
      <c r="K72" s="58">
        <f t="shared" si="15"/>
        <v>0</v>
      </c>
      <c r="L72" s="51">
        <f t="shared" si="16"/>
        <v>0</v>
      </c>
      <c r="M72" s="59">
        <f t="shared" si="17"/>
        <v>0</v>
      </c>
      <c r="N72" s="41"/>
      <c r="O72" s="41"/>
      <c r="P72" s="41"/>
    </row>
    <row r="73" spans="1:16" x14ac:dyDescent="0.2">
      <c r="A73" s="306">
        <v>4015600140137</v>
      </c>
      <c r="B73" s="303" t="s">
        <v>13</v>
      </c>
      <c r="C73" s="309" t="s">
        <v>475</v>
      </c>
      <c r="D73" s="307" t="s">
        <v>101</v>
      </c>
      <c r="E73" s="52">
        <v>159.02000000000001</v>
      </c>
      <c r="F73" s="56"/>
      <c r="G73" s="264"/>
      <c r="H73" s="417">
        <f t="shared" si="12"/>
        <v>0</v>
      </c>
      <c r="I73" s="50">
        <f t="shared" si="13"/>
        <v>0</v>
      </c>
      <c r="J73" s="57">
        <f t="shared" si="14"/>
        <v>0</v>
      </c>
      <c r="K73" s="58">
        <f t="shared" si="15"/>
        <v>0</v>
      </c>
      <c r="L73" s="51">
        <f t="shared" si="16"/>
        <v>0</v>
      </c>
      <c r="M73" s="59">
        <f t="shared" si="17"/>
        <v>0</v>
      </c>
      <c r="N73" s="41"/>
      <c r="O73" s="41"/>
      <c r="P73" s="41"/>
    </row>
    <row r="74" spans="1:16" x14ac:dyDescent="0.2">
      <c r="A74" s="306">
        <v>4015600139575</v>
      </c>
      <c r="B74" s="303" t="s">
        <v>13</v>
      </c>
      <c r="C74" s="309" t="s">
        <v>475</v>
      </c>
      <c r="D74" s="307" t="s">
        <v>102</v>
      </c>
      <c r="E74" s="52">
        <v>159.02000000000001</v>
      </c>
      <c r="F74" s="56"/>
      <c r="G74" s="264"/>
      <c r="H74" s="417">
        <f t="shared" si="12"/>
        <v>0</v>
      </c>
      <c r="I74" s="50">
        <f t="shared" si="13"/>
        <v>0</v>
      </c>
      <c r="J74" s="57">
        <f t="shared" si="14"/>
        <v>0</v>
      </c>
      <c r="K74" s="58">
        <f t="shared" si="15"/>
        <v>0</v>
      </c>
      <c r="L74" s="51">
        <f t="shared" si="16"/>
        <v>0</v>
      </c>
      <c r="M74" s="59">
        <f t="shared" si="17"/>
        <v>0</v>
      </c>
      <c r="N74" s="41"/>
      <c r="O74" s="41"/>
      <c r="P74" s="41"/>
    </row>
    <row r="75" spans="1:16" x14ac:dyDescent="0.2">
      <c r="A75" s="306">
        <v>4015600139612</v>
      </c>
      <c r="B75" s="303" t="s">
        <v>13</v>
      </c>
      <c r="C75" s="309" t="s">
        <v>475</v>
      </c>
      <c r="D75" s="307" t="s">
        <v>103</v>
      </c>
      <c r="E75" s="52">
        <v>159.02000000000001</v>
      </c>
      <c r="F75" s="56"/>
      <c r="G75" s="264"/>
      <c r="H75" s="417">
        <f t="shared" si="12"/>
        <v>0</v>
      </c>
      <c r="I75" s="50">
        <f t="shared" si="13"/>
        <v>0</v>
      </c>
      <c r="J75" s="57">
        <f t="shared" si="14"/>
        <v>0</v>
      </c>
      <c r="K75" s="58">
        <f t="shared" si="15"/>
        <v>0</v>
      </c>
      <c r="L75" s="51">
        <f t="shared" si="16"/>
        <v>0</v>
      </c>
      <c r="M75" s="59">
        <f t="shared" si="17"/>
        <v>0</v>
      </c>
      <c r="N75" s="41"/>
      <c r="O75" s="41"/>
      <c r="P75" s="41"/>
    </row>
    <row r="76" spans="1:16" x14ac:dyDescent="0.2">
      <c r="A76" s="306">
        <v>4015600139650</v>
      </c>
      <c r="B76" s="303" t="s">
        <v>13</v>
      </c>
      <c r="C76" s="309" t="s">
        <v>475</v>
      </c>
      <c r="D76" s="307" t="s">
        <v>104</v>
      </c>
      <c r="E76" s="52">
        <v>159.02000000000001</v>
      </c>
      <c r="F76" s="56"/>
      <c r="G76" s="264"/>
      <c r="H76" s="417">
        <f t="shared" si="12"/>
        <v>0</v>
      </c>
      <c r="I76" s="50">
        <f t="shared" si="13"/>
        <v>0</v>
      </c>
      <c r="J76" s="57">
        <f t="shared" si="14"/>
        <v>0</v>
      </c>
      <c r="K76" s="58">
        <f t="shared" si="15"/>
        <v>0</v>
      </c>
      <c r="L76" s="51">
        <f t="shared" si="16"/>
        <v>0</v>
      </c>
      <c r="M76" s="59">
        <f t="shared" si="17"/>
        <v>0</v>
      </c>
      <c r="N76" s="41"/>
      <c r="O76" s="41"/>
      <c r="P76" s="41"/>
    </row>
    <row r="77" spans="1:16" x14ac:dyDescent="0.2">
      <c r="A77" s="306">
        <v>4015600139698</v>
      </c>
      <c r="B77" s="303" t="s">
        <v>13</v>
      </c>
      <c r="C77" s="309" t="s">
        <v>475</v>
      </c>
      <c r="D77" s="307" t="s">
        <v>105</v>
      </c>
      <c r="E77" s="52">
        <v>159.02000000000001</v>
      </c>
      <c r="F77" s="56"/>
      <c r="G77" s="264"/>
      <c r="H77" s="417">
        <f t="shared" si="12"/>
        <v>0</v>
      </c>
      <c r="I77" s="50">
        <f t="shared" si="13"/>
        <v>0</v>
      </c>
      <c r="J77" s="57">
        <f t="shared" si="14"/>
        <v>0</v>
      </c>
      <c r="K77" s="58">
        <f t="shared" si="15"/>
        <v>0</v>
      </c>
      <c r="L77" s="51">
        <f t="shared" si="16"/>
        <v>0</v>
      </c>
      <c r="M77" s="59">
        <f t="shared" si="17"/>
        <v>0</v>
      </c>
      <c r="N77" s="41"/>
      <c r="O77" s="41"/>
      <c r="P77" s="41"/>
    </row>
    <row r="78" spans="1:16" x14ac:dyDescent="0.2">
      <c r="A78" s="306">
        <v>4015600139735</v>
      </c>
      <c r="B78" s="303" t="s">
        <v>13</v>
      </c>
      <c r="C78" s="309" t="s">
        <v>475</v>
      </c>
      <c r="D78" s="307" t="s">
        <v>106</v>
      </c>
      <c r="E78" s="52">
        <v>159.02000000000001</v>
      </c>
      <c r="F78" s="56"/>
      <c r="G78" s="264"/>
      <c r="H78" s="417">
        <f t="shared" si="12"/>
        <v>0</v>
      </c>
      <c r="I78" s="50">
        <f t="shared" si="13"/>
        <v>0</v>
      </c>
      <c r="J78" s="57">
        <f t="shared" si="14"/>
        <v>0</v>
      </c>
      <c r="K78" s="58">
        <f t="shared" si="15"/>
        <v>0</v>
      </c>
      <c r="L78" s="51">
        <f t="shared" si="16"/>
        <v>0</v>
      </c>
      <c r="M78" s="59">
        <f t="shared" si="17"/>
        <v>0</v>
      </c>
      <c r="N78" s="41"/>
      <c r="O78" s="41"/>
      <c r="P78" s="41"/>
    </row>
    <row r="79" spans="1:16" x14ac:dyDescent="0.2">
      <c r="A79" s="306">
        <v>4015600139797</v>
      </c>
      <c r="B79" s="303" t="s">
        <v>13</v>
      </c>
      <c r="C79" s="309" t="s">
        <v>475</v>
      </c>
      <c r="D79" s="307" t="s">
        <v>107</v>
      </c>
      <c r="E79" s="52">
        <v>159.02000000000001</v>
      </c>
      <c r="F79" s="56"/>
      <c r="G79" s="264"/>
      <c r="H79" s="417">
        <f t="shared" si="12"/>
        <v>0</v>
      </c>
      <c r="I79" s="50">
        <f t="shared" si="13"/>
        <v>0</v>
      </c>
      <c r="J79" s="57">
        <f t="shared" si="14"/>
        <v>0</v>
      </c>
      <c r="K79" s="58">
        <f t="shared" si="15"/>
        <v>0</v>
      </c>
      <c r="L79" s="51">
        <f t="shared" si="16"/>
        <v>0</v>
      </c>
      <c r="M79" s="59">
        <f t="shared" si="17"/>
        <v>0</v>
      </c>
      <c r="N79" s="41"/>
      <c r="O79" s="41"/>
      <c r="P79" s="41"/>
    </row>
    <row r="80" spans="1:16" x14ac:dyDescent="0.2">
      <c r="A80" s="306">
        <v>4015600139834</v>
      </c>
      <c r="B80" s="303" t="s">
        <v>13</v>
      </c>
      <c r="C80" s="309" t="s">
        <v>475</v>
      </c>
      <c r="D80" s="307" t="s">
        <v>108</v>
      </c>
      <c r="E80" s="52">
        <v>159.02000000000001</v>
      </c>
      <c r="F80" s="56"/>
      <c r="G80" s="264"/>
      <c r="H80" s="417">
        <f t="shared" si="12"/>
        <v>0</v>
      </c>
      <c r="I80" s="50">
        <f t="shared" si="13"/>
        <v>0</v>
      </c>
      <c r="J80" s="57">
        <f t="shared" si="14"/>
        <v>0</v>
      </c>
      <c r="K80" s="58">
        <f t="shared" si="15"/>
        <v>0</v>
      </c>
      <c r="L80" s="51">
        <f t="shared" si="16"/>
        <v>0</v>
      </c>
      <c r="M80" s="59">
        <f t="shared" si="17"/>
        <v>0</v>
      </c>
      <c r="N80" s="41"/>
      <c r="O80" s="41"/>
      <c r="P80" s="41"/>
    </row>
    <row r="81" spans="1:16" x14ac:dyDescent="0.2">
      <c r="A81" s="306">
        <v>4015600139940</v>
      </c>
      <c r="B81" s="303" t="s">
        <v>13</v>
      </c>
      <c r="C81" s="309" t="s">
        <v>475</v>
      </c>
      <c r="D81" s="307" t="s">
        <v>109</v>
      </c>
      <c r="E81" s="52">
        <v>159.02000000000001</v>
      </c>
      <c r="F81" s="56"/>
      <c r="G81" s="264"/>
      <c r="H81" s="417">
        <f>(F81+G81)</f>
        <v>0</v>
      </c>
      <c r="I81" s="50">
        <f t="shared" si="13"/>
        <v>0</v>
      </c>
      <c r="J81" s="57">
        <f>I81*$M$15</f>
        <v>0</v>
      </c>
      <c r="K81" s="58">
        <f>I81-J81</f>
        <v>0</v>
      </c>
      <c r="L81" s="51">
        <f t="shared" si="16"/>
        <v>0</v>
      </c>
      <c r="M81" s="59">
        <f>K81+L81</f>
        <v>0</v>
      </c>
      <c r="N81" s="41"/>
      <c r="O81" s="41"/>
      <c r="P81" s="41"/>
    </row>
    <row r="82" spans="1:16" x14ac:dyDescent="0.2">
      <c r="A82" s="306">
        <v>4015600140113</v>
      </c>
      <c r="B82" s="303" t="s">
        <v>13</v>
      </c>
      <c r="C82" s="309" t="s">
        <v>475</v>
      </c>
      <c r="D82" s="307" t="s">
        <v>110</v>
      </c>
      <c r="E82" s="52">
        <v>159.02000000000001</v>
      </c>
      <c r="F82" s="56"/>
      <c r="G82" s="264"/>
      <c r="H82" s="417">
        <f t="shared" si="12"/>
        <v>0</v>
      </c>
      <c r="I82" s="50">
        <f t="shared" si="13"/>
        <v>0</v>
      </c>
      <c r="J82" s="57">
        <f t="shared" si="14"/>
        <v>0</v>
      </c>
      <c r="K82" s="58">
        <f t="shared" si="15"/>
        <v>0</v>
      </c>
      <c r="L82" s="51">
        <f t="shared" si="16"/>
        <v>0</v>
      </c>
      <c r="M82" s="59">
        <f t="shared" si="17"/>
        <v>0</v>
      </c>
      <c r="N82" s="41"/>
      <c r="O82" s="41"/>
      <c r="P82" s="41"/>
    </row>
    <row r="83" spans="1:16" x14ac:dyDescent="0.2">
      <c r="A83" s="306">
        <v>4015600140144</v>
      </c>
      <c r="B83" s="303" t="s">
        <v>13</v>
      </c>
      <c r="C83" s="309" t="s">
        <v>475</v>
      </c>
      <c r="D83" s="307" t="s">
        <v>111</v>
      </c>
      <c r="E83" s="52">
        <v>159.02000000000001</v>
      </c>
      <c r="F83" s="56"/>
      <c r="G83" s="264"/>
      <c r="H83" s="417">
        <f t="shared" si="12"/>
        <v>0</v>
      </c>
      <c r="I83" s="50">
        <f t="shared" si="13"/>
        <v>0</v>
      </c>
      <c r="J83" s="57">
        <f t="shared" si="14"/>
        <v>0</v>
      </c>
      <c r="K83" s="58">
        <f t="shared" si="15"/>
        <v>0</v>
      </c>
      <c r="L83" s="51">
        <f t="shared" si="16"/>
        <v>0</v>
      </c>
      <c r="M83" s="59">
        <f t="shared" si="17"/>
        <v>0</v>
      </c>
      <c r="N83" s="41"/>
      <c r="O83" s="41"/>
      <c r="P83" s="41"/>
    </row>
    <row r="84" spans="1:16" x14ac:dyDescent="0.2">
      <c r="A84" s="306">
        <v>4015600140182</v>
      </c>
      <c r="B84" s="303" t="s">
        <v>13</v>
      </c>
      <c r="C84" s="309" t="s">
        <v>475</v>
      </c>
      <c r="D84" s="307" t="s">
        <v>112</v>
      </c>
      <c r="E84" s="52">
        <v>159.02000000000001</v>
      </c>
      <c r="F84" s="56"/>
      <c r="G84" s="264"/>
      <c r="H84" s="417">
        <f t="shared" si="12"/>
        <v>0</v>
      </c>
      <c r="I84" s="50">
        <f t="shared" si="13"/>
        <v>0</v>
      </c>
      <c r="J84" s="57">
        <f t="shared" si="14"/>
        <v>0</v>
      </c>
      <c r="K84" s="58">
        <f t="shared" si="15"/>
        <v>0</v>
      </c>
      <c r="L84" s="51">
        <f t="shared" si="16"/>
        <v>0</v>
      </c>
      <c r="M84" s="59">
        <f t="shared" si="17"/>
        <v>0</v>
      </c>
      <c r="N84" s="41"/>
      <c r="O84" s="41"/>
      <c r="P84" s="41"/>
    </row>
    <row r="85" spans="1:16" x14ac:dyDescent="0.2">
      <c r="A85" s="306">
        <v>4015600139582</v>
      </c>
      <c r="B85" s="303" t="s">
        <v>13</v>
      </c>
      <c r="C85" s="309" t="s">
        <v>475</v>
      </c>
      <c r="D85" s="307" t="s">
        <v>113</v>
      </c>
      <c r="E85" s="52">
        <v>159.02000000000001</v>
      </c>
      <c r="F85" s="56"/>
      <c r="G85" s="264"/>
      <c r="H85" s="417">
        <f t="shared" si="12"/>
        <v>0</v>
      </c>
      <c r="I85" s="50">
        <f t="shared" si="13"/>
        <v>0</v>
      </c>
      <c r="J85" s="57">
        <f t="shared" si="14"/>
        <v>0</v>
      </c>
      <c r="K85" s="58">
        <f t="shared" si="15"/>
        <v>0</v>
      </c>
      <c r="L85" s="51">
        <f t="shared" si="16"/>
        <v>0</v>
      </c>
      <c r="M85" s="59">
        <f t="shared" si="17"/>
        <v>0</v>
      </c>
      <c r="N85" s="41"/>
      <c r="O85" s="41"/>
      <c r="P85" s="41"/>
    </row>
    <row r="86" spans="1:16" x14ac:dyDescent="0.2">
      <c r="A86" s="306">
        <v>4015600139629</v>
      </c>
      <c r="B86" s="303" t="s">
        <v>13</v>
      </c>
      <c r="C86" s="309" t="s">
        <v>475</v>
      </c>
      <c r="D86" s="307" t="s">
        <v>114</v>
      </c>
      <c r="E86" s="52">
        <v>159.02000000000001</v>
      </c>
      <c r="F86" s="56"/>
      <c r="G86" s="264"/>
      <c r="H86" s="417">
        <f t="shared" si="12"/>
        <v>0</v>
      </c>
      <c r="I86" s="50">
        <f t="shared" si="13"/>
        <v>0</v>
      </c>
      <c r="J86" s="57">
        <f t="shared" si="14"/>
        <v>0</v>
      </c>
      <c r="K86" s="58">
        <f t="shared" si="15"/>
        <v>0</v>
      </c>
      <c r="L86" s="51">
        <f t="shared" si="16"/>
        <v>0</v>
      </c>
      <c r="M86" s="59">
        <f t="shared" si="17"/>
        <v>0</v>
      </c>
      <c r="N86" s="41"/>
      <c r="O86" s="41"/>
      <c r="P86" s="41"/>
    </row>
    <row r="87" spans="1:16" x14ac:dyDescent="0.2">
      <c r="A87" s="306">
        <v>4015600139742</v>
      </c>
      <c r="B87" s="303" t="s">
        <v>13</v>
      </c>
      <c r="C87" s="309" t="s">
        <v>475</v>
      </c>
      <c r="D87" s="307" t="s">
        <v>115</v>
      </c>
      <c r="E87" s="52">
        <v>159.02000000000001</v>
      </c>
      <c r="F87" s="56"/>
      <c r="G87" s="264"/>
      <c r="H87" s="417">
        <f t="shared" si="12"/>
        <v>0</v>
      </c>
      <c r="I87" s="50">
        <f t="shared" si="13"/>
        <v>0</v>
      </c>
      <c r="J87" s="57">
        <f t="shared" si="14"/>
        <v>0</v>
      </c>
      <c r="K87" s="58">
        <f t="shared" si="15"/>
        <v>0</v>
      </c>
      <c r="L87" s="51">
        <f t="shared" si="16"/>
        <v>0</v>
      </c>
      <c r="M87" s="59">
        <f t="shared" si="17"/>
        <v>0</v>
      </c>
      <c r="N87" s="41"/>
      <c r="O87" s="41"/>
      <c r="P87" s="41"/>
    </row>
    <row r="88" spans="1:16" x14ac:dyDescent="0.2">
      <c r="A88" s="306">
        <v>4015600062385</v>
      </c>
      <c r="B88" s="303" t="s">
        <v>13</v>
      </c>
      <c r="C88" s="309" t="s">
        <v>475</v>
      </c>
      <c r="D88" s="307" t="s">
        <v>116</v>
      </c>
      <c r="E88" s="52">
        <v>159.02000000000001</v>
      </c>
      <c r="F88" s="56"/>
      <c r="G88" s="264"/>
      <c r="H88" s="417">
        <f t="shared" si="12"/>
        <v>0</v>
      </c>
      <c r="I88" s="50">
        <f t="shared" si="13"/>
        <v>0</v>
      </c>
      <c r="J88" s="57">
        <f t="shared" si="14"/>
        <v>0</v>
      </c>
      <c r="K88" s="58">
        <f t="shared" si="15"/>
        <v>0</v>
      </c>
      <c r="L88" s="51">
        <f t="shared" si="16"/>
        <v>0</v>
      </c>
      <c r="M88" s="59">
        <f t="shared" si="17"/>
        <v>0</v>
      </c>
      <c r="N88" s="41"/>
      <c r="O88" s="41"/>
      <c r="P88" s="41"/>
    </row>
    <row r="89" spans="1:16" x14ac:dyDescent="0.2">
      <c r="A89" s="306">
        <v>4015600139766</v>
      </c>
      <c r="B89" s="303" t="s">
        <v>13</v>
      </c>
      <c r="C89" s="309" t="s">
        <v>475</v>
      </c>
      <c r="D89" s="307" t="s">
        <v>117</v>
      </c>
      <c r="E89" s="52">
        <v>159.02000000000001</v>
      </c>
      <c r="F89" s="56"/>
      <c r="G89" s="264"/>
      <c r="H89" s="417">
        <f t="shared" si="12"/>
        <v>0</v>
      </c>
      <c r="I89" s="50">
        <f t="shared" si="13"/>
        <v>0</v>
      </c>
      <c r="J89" s="57">
        <f t="shared" si="14"/>
        <v>0</v>
      </c>
      <c r="K89" s="58">
        <f t="shared" si="15"/>
        <v>0</v>
      </c>
      <c r="L89" s="51">
        <f t="shared" si="16"/>
        <v>0</v>
      </c>
      <c r="M89" s="59">
        <f t="shared" si="17"/>
        <v>0</v>
      </c>
      <c r="N89" s="41"/>
      <c r="O89" s="41"/>
      <c r="P89" s="41"/>
    </row>
    <row r="90" spans="1:16" x14ac:dyDescent="0.2">
      <c r="A90" s="330">
        <v>99350152415</v>
      </c>
      <c r="B90" s="303" t="s">
        <v>13</v>
      </c>
      <c r="C90" s="309" t="s">
        <v>475</v>
      </c>
      <c r="D90" s="329" t="s">
        <v>561</v>
      </c>
      <c r="E90" s="52">
        <v>159.02000000000001</v>
      </c>
      <c r="F90" s="56"/>
      <c r="G90" s="264"/>
      <c r="H90" s="417">
        <f t="shared" si="12"/>
        <v>0</v>
      </c>
      <c r="I90" s="50">
        <f t="shared" si="13"/>
        <v>0</v>
      </c>
      <c r="J90" s="57">
        <f t="shared" si="14"/>
        <v>0</v>
      </c>
      <c r="K90" s="58">
        <f t="shared" si="15"/>
        <v>0</v>
      </c>
      <c r="L90" s="51">
        <f t="shared" si="16"/>
        <v>0</v>
      </c>
      <c r="M90" s="59">
        <f t="shared" si="17"/>
        <v>0</v>
      </c>
      <c r="N90" s="41"/>
      <c r="O90" s="41"/>
      <c r="P90" s="41"/>
    </row>
    <row r="91" spans="1:16" x14ac:dyDescent="0.2">
      <c r="A91" s="306">
        <v>4015600139841</v>
      </c>
      <c r="B91" s="303" t="s">
        <v>13</v>
      </c>
      <c r="C91" s="309" t="s">
        <v>475</v>
      </c>
      <c r="D91" s="307" t="s">
        <v>118</v>
      </c>
      <c r="E91" s="52">
        <v>159.02000000000001</v>
      </c>
      <c r="F91" s="56"/>
      <c r="G91" s="264"/>
      <c r="H91" s="417">
        <f t="shared" si="12"/>
        <v>0</v>
      </c>
      <c r="I91" s="50">
        <f t="shared" si="13"/>
        <v>0</v>
      </c>
      <c r="J91" s="57">
        <f t="shared" si="14"/>
        <v>0</v>
      </c>
      <c r="K91" s="58">
        <f t="shared" si="15"/>
        <v>0</v>
      </c>
      <c r="L91" s="51">
        <f t="shared" si="16"/>
        <v>0</v>
      </c>
      <c r="M91" s="59">
        <f t="shared" si="17"/>
        <v>0</v>
      </c>
      <c r="N91" s="41"/>
      <c r="O91" s="41"/>
      <c r="P91" s="41"/>
    </row>
    <row r="92" spans="1:16" x14ac:dyDescent="0.2">
      <c r="A92" s="306">
        <v>4015600139902</v>
      </c>
      <c r="B92" s="303" t="s">
        <v>13</v>
      </c>
      <c r="C92" s="309" t="s">
        <v>475</v>
      </c>
      <c r="D92" s="307" t="s">
        <v>119</v>
      </c>
      <c r="E92" s="52">
        <v>159.02000000000001</v>
      </c>
      <c r="F92" s="56"/>
      <c r="G92" s="264"/>
      <c r="H92" s="417">
        <f t="shared" si="12"/>
        <v>0</v>
      </c>
      <c r="I92" s="50">
        <f t="shared" si="13"/>
        <v>0</v>
      </c>
      <c r="J92" s="57">
        <f t="shared" si="14"/>
        <v>0</v>
      </c>
      <c r="K92" s="58">
        <f t="shared" si="15"/>
        <v>0</v>
      </c>
      <c r="L92" s="51">
        <f t="shared" si="16"/>
        <v>0</v>
      </c>
      <c r="M92" s="59">
        <f t="shared" si="17"/>
        <v>0</v>
      </c>
      <c r="N92" s="41"/>
      <c r="O92" s="41"/>
      <c r="P92" s="41"/>
    </row>
    <row r="93" spans="1:16" x14ac:dyDescent="0.2">
      <c r="A93" s="330">
        <v>3614226771148</v>
      </c>
      <c r="B93" s="303" t="s">
        <v>13</v>
      </c>
      <c r="C93" s="309" t="s">
        <v>475</v>
      </c>
      <c r="D93" s="329" t="s">
        <v>562</v>
      </c>
      <c r="E93" s="52">
        <v>159.02000000000001</v>
      </c>
      <c r="F93" s="56"/>
      <c r="G93" s="264"/>
      <c r="H93" s="417">
        <f t="shared" si="12"/>
        <v>0</v>
      </c>
      <c r="I93" s="50">
        <f t="shared" si="13"/>
        <v>0</v>
      </c>
      <c r="J93" s="57">
        <f t="shared" si="14"/>
        <v>0</v>
      </c>
      <c r="K93" s="58">
        <f t="shared" si="15"/>
        <v>0</v>
      </c>
      <c r="L93" s="51">
        <f t="shared" si="16"/>
        <v>0</v>
      </c>
      <c r="M93" s="59">
        <f t="shared" si="17"/>
        <v>0</v>
      </c>
      <c r="N93" s="41"/>
      <c r="O93" s="41"/>
      <c r="P93" s="41"/>
    </row>
    <row r="94" spans="1:16" x14ac:dyDescent="0.2">
      <c r="A94" s="330">
        <v>99350152417</v>
      </c>
      <c r="B94" s="303" t="s">
        <v>13</v>
      </c>
      <c r="C94" s="309" t="s">
        <v>535</v>
      </c>
      <c r="D94" s="329" t="s">
        <v>563</v>
      </c>
      <c r="E94" s="52">
        <v>159.02000000000001</v>
      </c>
      <c r="F94" s="56"/>
      <c r="G94" s="264"/>
      <c r="H94" s="417">
        <f t="shared" si="12"/>
        <v>0</v>
      </c>
      <c r="I94" s="50">
        <f t="shared" si="13"/>
        <v>0</v>
      </c>
      <c r="J94" s="57">
        <f t="shared" si="14"/>
        <v>0</v>
      </c>
      <c r="K94" s="58">
        <f t="shared" si="15"/>
        <v>0</v>
      </c>
      <c r="L94" s="51">
        <f t="shared" si="16"/>
        <v>0</v>
      </c>
      <c r="M94" s="59">
        <f t="shared" si="17"/>
        <v>0</v>
      </c>
      <c r="N94" s="41"/>
      <c r="O94" s="41"/>
      <c r="P94" s="41"/>
    </row>
    <row r="95" spans="1:16" x14ac:dyDescent="0.2">
      <c r="A95" s="306">
        <v>4015600139599</v>
      </c>
      <c r="B95" s="303" t="s">
        <v>13</v>
      </c>
      <c r="C95" s="309" t="s">
        <v>475</v>
      </c>
      <c r="D95" s="307" t="s">
        <v>120</v>
      </c>
      <c r="E95" s="52">
        <v>159.02000000000001</v>
      </c>
      <c r="F95" s="56"/>
      <c r="G95" s="264"/>
      <c r="H95" s="417">
        <f t="shared" si="12"/>
        <v>0</v>
      </c>
      <c r="I95" s="50">
        <f t="shared" si="13"/>
        <v>0</v>
      </c>
      <c r="J95" s="57">
        <f t="shared" si="14"/>
        <v>0</v>
      </c>
      <c r="K95" s="58">
        <f t="shared" si="15"/>
        <v>0</v>
      </c>
      <c r="L95" s="51">
        <f t="shared" si="16"/>
        <v>0</v>
      </c>
      <c r="M95" s="59">
        <f t="shared" si="17"/>
        <v>0</v>
      </c>
      <c r="N95" s="41"/>
      <c r="O95" s="41"/>
      <c r="P95" s="41"/>
    </row>
    <row r="96" spans="1:16" x14ac:dyDescent="0.2">
      <c r="A96" s="306">
        <v>4015600139759</v>
      </c>
      <c r="B96" s="303" t="s">
        <v>13</v>
      </c>
      <c r="C96" s="309" t="s">
        <v>475</v>
      </c>
      <c r="D96" s="307" t="s">
        <v>121</v>
      </c>
      <c r="E96" s="52">
        <v>159.02000000000001</v>
      </c>
      <c r="F96" s="56"/>
      <c r="G96" s="264"/>
      <c r="H96" s="417">
        <f t="shared" ref="H96:H110" si="18">(F96+G96)</f>
        <v>0</v>
      </c>
      <c r="I96" s="50">
        <f t="shared" ref="I96:I159" si="19">IF(C96="Faltante",0,E96*F96)</f>
        <v>0</v>
      </c>
      <c r="J96" s="57">
        <f t="shared" ref="J96:J102" si="20">I96*$M$15</f>
        <v>0</v>
      </c>
      <c r="K96" s="58">
        <f t="shared" ref="K96:K110" si="21">I96-J96</f>
        <v>0</v>
      </c>
      <c r="L96" s="51">
        <f t="shared" ref="L96:L159" si="22">K96*$P$5</f>
        <v>0</v>
      </c>
      <c r="M96" s="59">
        <f t="shared" ref="M96:M110" si="23">K96+L96</f>
        <v>0</v>
      </c>
      <c r="N96" s="41"/>
      <c r="O96" s="41"/>
      <c r="P96" s="41"/>
    </row>
    <row r="97" spans="1:16" x14ac:dyDescent="0.2">
      <c r="A97" s="330">
        <v>3614226771179</v>
      </c>
      <c r="B97" s="303" t="s">
        <v>13</v>
      </c>
      <c r="C97" s="309" t="s">
        <v>475</v>
      </c>
      <c r="D97" s="329" t="s">
        <v>564</v>
      </c>
      <c r="E97" s="52">
        <v>159.02000000000001</v>
      </c>
      <c r="F97" s="56"/>
      <c r="G97" s="264"/>
      <c r="H97" s="417">
        <f t="shared" si="18"/>
        <v>0</v>
      </c>
      <c r="I97" s="50">
        <f t="shared" si="19"/>
        <v>0</v>
      </c>
      <c r="J97" s="57">
        <f t="shared" si="20"/>
        <v>0</v>
      </c>
      <c r="K97" s="58">
        <f t="shared" si="21"/>
        <v>0</v>
      </c>
      <c r="L97" s="51">
        <f t="shared" si="22"/>
        <v>0</v>
      </c>
      <c r="M97" s="59">
        <f t="shared" si="23"/>
        <v>0</v>
      </c>
      <c r="N97" s="41"/>
      <c r="O97" s="41"/>
      <c r="P97" s="41"/>
    </row>
    <row r="98" spans="1:16" x14ac:dyDescent="0.2">
      <c r="A98" s="330">
        <v>3614226771162</v>
      </c>
      <c r="B98" s="303" t="s">
        <v>13</v>
      </c>
      <c r="C98" s="309" t="s">
        <v>475</v>
      </c>
      <c r="D98" s="329" t="s">
        <v>565</v>
      </c>
      <c r="E98" s="52">
        <v>159.02000000000001</v>
      </c>
      <c r="F98" s="56"/>
      <c r="G98" s="264"/>
      <c r="H98" s="417">
        <f t="shared" si="18"/>
        <v>0</v>
      </c>
      <c r="I98" s="50">
        <f t="shared" si="19"/>
        <v>0</v>
      </c>
      <c r="J98" s="57">
        <f t="shared" si="20"/>
        <v>0</v>
      </c>
      <c r="K98" s="58">
        <f t="shared" si="21"/>
        <v>0</v>
      </c>
      <c r="L98" s="51">
        <f t="shared" si="22"/>
        <v>0</v>
      </c>
      <c r="M98" s="59">
        <f t="shared" si="23"/>
        <v>0</v>
      </c>
      <c r="N98" s="41"/>
      <c r="O98" s="41"/>
      <c r="P98" s="41"/>
    </row>
    <row r="99" spans="1:16" x14ac:dyDescent="0.2">
      <c r="A99" s="306">
        <v>4015600131579</v>
      </c>
      <c r="B99" s="303" t="s">
        <v>13</v>
      </c>
      <c r="C99" s="309" t="s">
        <v>475</v>
      </c>
      <c r="D99" s="307" t="s">
        <v>122</v>
      </c>
      <c r="E99" s="52">
        <v>159.02000000000001</v>
      </c>
      <c r="F99" s="56"/>
      <c r="G99" s="264"/>
      <c r="H99" s="417">
        <f t="shared" si="18"/>
        <v>0</v>
      </c>
      <c r="I99" s="50">
        <f t="shared" si="19"/>
        <v>0</v>
      </c>
      <c r="J99" s="57">
        <f t="shared" si="20"/>
        <v>0</v>
      </c>
      <c r="K99" s="58">
        <f t="shared" si="21"/>
        <v>0</v>
      </c>
      <c r="L99" s="51">
        <f t="shared" si="22"/>
        <v>0</v>
      </c>
      <c r="M99" s="59">
        <f t="shared" si="23"/>
        <v>0</v>
      </c>
      <c r="N99" s="41"/>
      <c r="O99" s="41"/>
      <c r="P99" s="41"/>
    </row>
    <row r="100" spans="1:16" x14ac:dyDescent="0.2">
      <c r="A100" s="306">
        <v>4015600131586</v>
      </c>
      <c r="B100" s="303" t="s">
        <v>13</v>
      </c>
      <c r="C100" s="309" t="s">
        <v>475</v>
      </c>
      <c r="D100" s="307" t="s">
        <v>123</v>
      </c>
      <c r="E100" s="52">
        <v>159.02000000000001</v>
      </c>
      <c r="F100" s="56"/>
      <c r="G100" s="264"/>
      <c r="H100" s="417">
        <f t="shared" si="18"/>
        <v>0</v>
      </c>
      <c r="I100" s="50">
        <f t="shared" si="19"/>
        <v>0</v>
      </c>
      <c r="J100" s="57">
        <f t="shared" si="20"/>
        <v>0</v>
      </c>
      <c r="K100" s="58">
        <f t="shared" si="21"/>
        <v>0</v>
      </c>
      <c r="L100" s="51">
        <f t="shared" si="22"/>
        <v>0</v>
      </c>
      <c r="M100" s="59">
        <f t="shared" si="23"/>
        <v>0</v>
      </c>
      <c r="N100" s="41"/>
      <c r="O100" s="41"/>
      <c r="P100" s="41"/>
    </row>
    <row r="101" spans="1:16" x14ac:dyDescent="0.2">
      <c r="A101" s="306">
        <v>4015600131593</v>
      </c>
      <c r="B101" s="303" t="s">
        <v>13</v>
      </c>
      <c r="C101" s="309" t="s">
        <v>475</v>
      </c>
      <c r="D101" s="307" t="s">
        <v>124</v>
      </c>
      <c r="E101" s="52">
        <v>159.02000000000001</v>
      </c>
      <c r="F101" s="56"/>
      <c r="G101" s="264"/>
      <c r="H101" s="417">
        <f t="shared" si="18"/>
        <v>0</v>
      </c>
      <c r="I101" s="50">
        <f t="shared" si="19"/>
        <v>0</v>
      </c>
      <c r="J101" s="57">
        <f t="shared" si="20"/>
        <v>0</v>
      </c>
      <c r="K101" s="58">
        <f t="shared" si="21"/>
        <v>0</v>
      </c>
      <c r="L101" s="51">
        <f t="shared" si="22"/>
        <v>0</v>
      </c>
      <c r="M101" s="59">
        <f t="shared" si="23"/>
        <v>0</v>
      </c>
      <c r="N101" s="41"/>
      <c r="O101" s="41"/>
      <c r="P101" s="41"/>
    </row>
    <row r="102" spans="1:16" x14ac:dyDescent="0.2">
      <c r="A102" s="330">
        <v>99350152414</v>
      </c>
      <c r="B102" s="303" t="s">
        <v>13</v>
      </c>
      <c r="C102" s="309" t="s">
        <v>535</v>
      </c>
      <c r="D102" s="329" t="s">
        <v>566</v>
      </c>
      <c r="E102" s="52">
        <v>159.02000000000001</v>
      </c>
      <c r="F102" s="62"/>
      <c r="G102" s="265"/>
      <c r="H102" s="417">
        <f t="shared" si="18"/>
        <v>0</v>
      </c>
      <c r="I102" s="50">
        <f t="shared" si="19"/>
        <v>0</v>
      </c>
      <c r="J102" s="63">
        <f t="shared" si="20"/>
        <v>0</v>
      </c>
      <c r="K102" s="64">
        <f t="shared" si="21"/>
        <v>0</v>
      </c>
      <c r="L102" s="51">
        <f t="shared" si="22"/>
        <v>0</v>
      </c>
      <c r="M102" s="65">
        <f t="shared" si="23"/>
        <v>0</v>
      </c>
      <c r="N102" s="41"/>
      <c r="O102" s="41"/>
      <c r="P102" s="41"/>
    </row>
    <row r="103" spans="1:16" x14ac:dyDescent="0.2">
      <c r="A103" s="306">
        <v>4015600131616</v>
      </c>
      <c r="B103" s="303" t="s">
        <v>13</v>
      </c>
      <c r="C103" s="309" t="s">
        <v>475</v>
      </c>
      <c r="D103" s="307" t="s">
        <v>125</v>
      </c>
      <c r="E103" s="52">
        <v>159.02000000000001</v>
      </c>
      <c r="F103" s="62"/>
      <c r="G103" s="265"/>
      <c r="H103" s="417">
        <f t="shared" si="18"/>
        <v>0</v>
      </c>
      <c r="I103" s="50">
        <f t="shared" si="19"/>
        <v>0</v>
      </c>
      <c r="J103" s="63">
        <f>I103*$M$15</f>
        <v>0</v>
      </c>
      <c r="K103" s="64">
        <f t="shared" si="21"/>
        <v>0</v>
      </c>
      <c r="L103" s="51">
        <f t="shared" si="22"/>
        <v>0</v>
      </c>
      <c r="M103" s="65">
        <f t="shared" si="23"/>
        <v>0</v>
      </c>
      <c r="N103" s="41"/>
      <c r="O103" s="41"/>
      <c r="P103" s="41"/>
    </row>
    <row r="104" spans="1:16" x14ac:dyDescent="0.2">
      <c r="A104" s="306">
        <v>4015600146504</v>
      </c>
      <c r="B104" s="303" t="s">
        <v>13</v>
      </c>
      <c r="C104" s="309" t="s">
        <v>475</v>
      </c>
      <c r="D104" s="307" t="s">
        <v>126</v>
      </c>
      <c r="E104" s="52">
        <v>159.02000000000001</v>
      </c>
      <c r="F104" s="62"/>
      <c r="G104" s="265"/>
      <c r="H104" s="417">
        <f t="shared" si="18"/>
        <v>0</v>
      </c>
      <c r="I104" s="50">
        <f t="shared" si="19"/>
        <v>0</v>
      </c>
      <c r="J104" s="63">
        <f>I104*$M$15</f>
        <v>0</v>
      </c>
      <c r="K104" s="64">
        <f t="shared" si="21"/>
        <v>0</v>
      </c>
      <c r="L104" s="51">
        <f t="shared" si="22"/>
        <v>0</v>
      </c>
      <c r="M104" s="65">
        <f t="shared" si="23"/>
        <v>0</v>
      </c>
      <c r="N104" s="41"/>
      <c r="O104" s="41"/>
      <c r="P104" s="41"/>
    </row>
    <row r="105" spans="1:16" x14ac:dyDescent="0.2">
      <c r="A105" s="306">
        <v>4015600022785</v>
      </c>
      <c r="B105" s="303" t="s">
        <v>13</v>
      </c>
      <c r="C105" s="309" t="s">
        <v>475</v>
      </c>
      <c r="D105" s="307" t="s">
        <v>127</v>
      </c>
      <c r="E105" s="52">
        <v>159.02000000000001</v>
      </c>
      <c r="F105" s="62"/>
      <c r="G105" s="265"/>
      <c r="H105" s="417">
        <f t="shared" si="18"/>
        <v>0</v>
      </c>
      <c r="I105" s="50">
        <f t="shared" si="19"/>
        <v>0</v>
      </c>
      <c r="J105" s="63">
        <f>I105*$M$15</f>
        <v>0</v>
      </c>
      <c r="K105" s="64">
        <f t="shared" si="21"/>
        <v>0</v>
      </c>
      <c r="L105" s="51">
        <f t="shared" si="22"/>
        <v>0</v>
      </c>
      <c r="M105" s="65">
        <f t="shared" si="23"/>
        <v>0</v>
      </c>
      <c r="N105" s="41"/>
      <c r="O105" s="41"/>
      <c r="P105" s="41"/>
    </row>
    <row r="106" spans="1:16" x14ac:dyDescent="0.2">
      <c r="A106" s="306">
        <v>4015600022792</v>
      </c>
      <c r="B106" s="303" t="s">
        <v>13</v>
      </c>
      <c r="C106" s="309" t="s">
        <v>475</v>
      </c>
      <c r="D106" s="307" t="s">
        <v>128</v>
      </c>
      <c r="E106" s="52">
        <v>159.02000000000001</v>
      </c>
      <c r="F106" s="62"/>
      <c r="G106" s="265"/>
      <c r="H106" s="417">
        <f t="shared" si="18"/>
        <v>0</v>
      </c>
      <c r="I106" s="50">
        <f t="shared" si="19"/>
        <v>0</v>
      </c>
      <c r="J106" s="63">
        <f t="shared" ref="J106:J167" si="24">I106*$M$15</f>
        <v>0</v>
      </c>
      <c r="K106" s="64">
        <f t="shared" si="21"/>
        <v>0</v>
      </c>
      <c r="L106" s="51">
        <f t="shared" si="22"/>
        <v>0</v>
      </c>
      <c r="M106" s="65">
        <f t="shared" si="23"/>
        <v>0</v>
      </c>
      <c r="N106" s="41"/>
      <c r="O106" s="41"/>
      <c r="P106" s="41"/>
    </row>
    <row r="107" spans="1:16" x14ac:dyDescent="0.2">
      <c r="A107" s="306">
        <v>4015600146535</v>
      </c>
      <c r="B107" s="303" t="s">
        <v>13</v>
      </c>
      <c r="C107" s="309" t="s">
        <v>475</v>
      </c>
      <c r="D107" s="307" t="s">
        <v>129</v>
      </c>
      <c r="E107" s="52">
        <v>159.02000000000001</v>
      </c>
      <c r="F107" s="62"/>
      <c r="G107" s="265"/>
      <c r="H107" s="417">
        <f t="shared" si="18"/>
        <v>0</v>
      </c>
      <c r="I107" s="50">
        <f t="shared" si="19"/>
        <v>0</v>
      </c>
      <c r="J107" s="63">
        <f t="shared" si="24"/>
        <v>0</v>
      </c>
      <c r="K107" s="64">
        <f t="shared" si="21"/>
        <v>0</v>
      </c>
      <c r="L107" s="51">
        <f t="shared" si="22"/>
        <v>0</v>
      </c>
      <c r="M107" s="65">
        <f t="shared" si="23"/>
        <v>0</v>
      </c>
      <c r="N107" s="41"/>
      <c r="O107" s="41"/>
      <c r="P107" s="41"/>
    </row>
    <row r="108" spans="1:16" x14ac:dyDescent="0.2">
      <c r="A108" s="306">
        <v>4015600146542</v>
      </c>
      <c r="B108" s="303" t="s">
        <v>13</v>
      </c>
      <c r="C108" s="309" t="s">
        <v>475</v>
      </c>
      <c r="D108" s="307" t="s">
        <v>130</v>
      </c>
      <c r="E108" s="52">
        <v>159.02000000000001</v>
      </c>
      <c r="F108" s="62"/>
      <c r="G108" s="265"/>
      <c r="H108" s="417">
        <f t="shared" si="18"/>
        <v>0</v>
      </c>
      <c r="I108" s="50">
        <f t="shared" si="19"/>
        <v>0</v>
      </c>
      <c r="J108" s="63">
        <f t="shared" si="24"/>
        <v>0</v>
      </c>
      <c r="K108" s="64">
        <f t="shared" si="21"/>
        <v>0</v>
      </c>
      <c r="L108" s="51">
        <f t="shared" si="22"/>
        <v>0</v>
      </c>
      <c r="M108" s="65">
        <f t="shared" si="23"/>
        <v>0</v>
      </c>
      <c r="N108" s="41"/>
      <c r="O108" s="41"/>
      <c r="P108" s="41"/>
    </row>
    <row r="109" spans="1:16" x14ac:dyDescent="0.2">
      <c r="A109" s="306">
        <v>4015600146559</v>
      </c>
      <c r="B109" s="303" t="s">
        <v>13</v>
      </c>
      <c r="C109" s="309" t="s">
        <v>475</v>
      </c>
      <c r="D109" s="307" t="s">
        <v>131</v>
      </c>
      <c r="E109" s="52">
        <v>159.02000000000001</v>
      </c>
      <c r="F109" s="62"/>
      <c r="G109" s="265"/>
      <c r="H109" s="417">
        <f t="shared" si="18"/>
        <v>0</v>
      </c>
      <c r="I109" s="50">
        <f t="shared" si="19"/>
        <v>0</v>
      </c>
      <c r="J109" s="63">
        <f t="shared" si="24"/>
        <v>0</v>
      </c>
      <c r="K109" s="64">
        <f t="shared" si="21"/>
        <v>0</v>
      </c>
      <c r="L109" s="51">
        <f t="shared" si="22"/>
        <v>0</v>
      </c>
      <c r="M109" s="65">
        <f t="shared" si="23"/>
        <v>0</v>
      </c>
      <c r="N109" s="41"/>
      <c r="O109" s="41"/>
      <c r="P109" s="41"/>
    </row>
    <row r="110" spans="1:16" ht="15.75" thickBot="1" x14ac:dyDescent="0.25">
      <c r="A110" s="330">
        <v>4015600022839</v>
      </c>
      <c r="B110" s="303" t="s">
        <v>13</v>
      </c>
      <c r="C110" s="309" t="s">
        <v>475</v>
      </c>
      <c r="D110" s="329" t="s">
        <v>132</v>
      </c>
      <c r="E110" s="52">
        <v>159.02000000000001</v>
      </c>
      <c r="F110" s="62"/>
      <c r="G110" s="265"/>
      <c r="H110" s="417">
        <f t="shared" si="18"/>
        <v>0</v>
      </c>
      <c r="I110" s="50">
        <f t="shared" si="19"/>
        <v>0</v>
      </c>
      <c r="J110" s="63">
        <f t="shared" si="24"/>
        <v>0</v>
      </c>
      <c r="K110" s="64">
        <f t="shared" si="21"/>
        <v>0</v>
      </c>
      <c r="L110" s="51">
        <f t="shared" si="22"/>
        <v>0</v>
      </c>
      <c r="M110" s="65">
        <f t="shared" si="23"/>
        <v>0</v>
      </c>
      <c r="N110" s="41"/>
      <c r="O110" s="41"/>
      <c r="P110" s="41"/>
    </row>
    <row r="111" spans="1:16" s="79" customFormat="1" ht="15" customHeight="1" thickBot="1" x14ac:dyDescent="0.2">
      <c r="A111" s="250"/>
      <c r="B111" s="251"/>
      <c r="C111" s="309" t="e">
        <v>#N/A</v>
      </c>
      <c r="D111" s="252" t="s">
        <v>376</v>
      </c>
      <c r="E111" s="490"/>
      <c r="F111" s="364"/>
      <c r="G111" s="356"/>
      <c r="H111" s="253"/>
      <c r="I111" s="254"/>
      <c r="J111" s="254"/>
      <c r="K111" s="254"/>
      <c r="L111" s="254"/>
      <c r="M111" s="254"/>
      <c r="P111" s="186"/>
    </row>
    <row r="112" spans="1:16" s="79" customFormat="1" ht="15" customHeight="1" x14ac:dyDescent="0.15">
      <c r="A112" s="330">
        <v>99350187272</v>
      </c>
      <c r="B112" s="303" t="s">
        <v>376</v>
      </c>
      <c r="C112" s="309" t="s">
        <v>475</v>
      </c>
      <c r="D112" s="329" t="s">
        <v>384</v>
      </c>
      <c r="E112" s="52">
        <v>187.44</v>
      </c>
      <c r="F112" s="80"/>
      <c r="G112" s="477"/>
      <c r="H112" s="255">
        <f t="shared" ref="H112:H167" si="25">(F112+G112)</f>
        <v>0</v>
      </c>
      <c r="I112" s="50">
        <f t="shared" si="19"/>
        <v>0</v>
      </c>
      <c r="J112" s="63">
        <f t="shared" si="24"/>
        <v>0</v>
      </c>
      <c r="K112" s="64">
        <f t="shared" ref="K112:K167" si="26">I112-J112</f>
        <v>0</v>
      </c>
      <c r="L112" s="51">
        <f t="shared" si="22"/>
        <v>0</v>
      </c>
      <c r="M112" s="64">
        <f t="shared" ref="M112:M167" si="27">K112+L112</f>
        <v>0</v>
      </c>
      <c r="P112" s="186"/>
    </row>
    <row r="113" spans="1:16" s="79" customFormat="1" ht="15" customHeight="1" x14ac:dyDescent="0.15">
      <c r="A113" s="330">
        <v>99350187276</v>
      </c>
      <c r="B113" s="303" t="s">
        <v>376</v>
      </c>
      <c r="C113" s="309" t="s">
        <v>475</v>
      </c>
      <c r="D113" s="329" t="s">
        <v>385</v>
      </c>
      <c r="E113" s="52">
        <v>187.44</v>
      </c>
      <c r="F113" s="80"/>
      <c r="G113" s="477"/>
      <c r="H113" s="255">
        <f t="shared" si="25"/>
        <v>0</v>
      </c>
      <c r="I113" s="50">
        <f t="shared" si="19"/>
        <v>0</v>
      </c>
      <c r="J113" s="63">
        <f t="shared" si="24"/>
        <v>0</v>
      </c>
      <c r="K113" s="64">
        <f t="shared" si="26"/>
        <v>0</v>
      </c>
      <c r="L113" s="51">
        <f t="shared" si="22"/>
        <v>0</v>
      </c>
      <c r="M113" s="64">
        <f t="shared" si="27"/>
        <v>0</v>
      </c>
      <c r="P113" s="186"/>
    </row>
    <row r="114" spans="1:16" s="79" customFormat="1" ht="15" customHeight="1" x14ac:dyDescent="0.15">
      <c r="A114" s="330">
        <v>99350187294</v>
      </c>
      <c r="B114" s="303" t="s">
        <v>376</v>
      </c>
      <c r="C114" s="309" t="s">
        <v>475</v>
      </c>
      <c r="D114" s="329" t="s">
        <v>383</v>
      </c>
      <c r="E114" s="52">
        <v>187.44</v>
      </c>
      <c r="F114" s="80"/>
      <c r="G114" s="477"/>
      <c r="H114" s="255">
        <f t="shared" si="25"/>
        <v>0</v>
      </c>
      <c r="I114" s="50">
        <f t="shared" si="19"/>
        <v>0</v>
      </c>
      <c r="J114" s="63">
        <f t="shared" si="24"/>
        <v>0</v>
      </c>
      <c r="K114" s="64">
        <f t="shared" si="26"/>
        <v>0</v>
      </c>
      <c r="L114" s="51">
        <f t="shared" si="22"/>
        <v>0</v>
      </c>
      <c r="M114" s="64">
        <f t="shared" si="27"/>
        <v>0</v>
      </c>
      <c r="P114" s="186"/>
    </row>
    <row r="115" spans="1:16" s="79" customFormat="1" ht="15" customHeight="1" x14ac:dyDescent="0.15">
      <c r="A115" s="302">
        <v>99350176834</v>
      </c>
      <c r="B115" s="303" t="s">
        <v>376</v>
      </c>
      <c r="C115" s="309" t="s">
        <v>475</v>
      </c>
      <c r="D115" s="331" t="s">
        <v>499</v>
      </c>
      <c r="E115" s="52">
        <v>187.44</v>
      </c>
      <c r="F115" s="80"/>
      <c r="G115" s="477"/>
      <c r="H115" s="255">
        <f t="shared" si="25"/>
        <v>0</v>
      </c>
      <c r="I115" s="50">
        <f t="shared" si="19"/>
        <v>0</v>
      </c>
      <c r="J115" s="63">
        <f t="shared" si="24"/>
        <v>0</v>
      </c>
      <c r="K115" s="64">
        <f t="shared" si="26"/>
        <v>0</v>
      </c>
      <c r="L115" s="51">
        <f t="shared" si="22"/>
        <v>0</v>
      </c>
      <c r="M115" s="64">
        <f t="shared" si="27"/>
        <v>0</v>
      </c>
      <c r="P115" s="186"/>
    </row>
    <row r="116" spans="1:16" s="79" customFormat="1" ht="15" customHeight="1" x14ac:dyDescent="0.15">
      <c r="A116" s="302">
        <v>99350176825</v>
      </c>
      <c r="B116" s="303" t="s">
        <v>376</v>
      </c>
      <c r="C116" s="309" t="s">
        <v>475</v>
      </c>
      <c r="D116" s="331" t="s">
        <v>483</v>
      </c>
      <c r="E116" s="52">
        <v>187.44</v>
      </c>
      <c r="F116" s="80"/>
      <c r="G116" s="477"/>
      <c r="H116" s="255">
        <f t="shared" si="25"/>
        <v>0</v>
      </c>
      <c r="I116" s="50">
        <f t="shared" si="19"/>
        <v>0</v>
      </c>
      <c r="J116" s="63">
        <f t="shared" si="24"/>
        <v>0</v>
      </c>
      <c r="K116" s="64">
        <f t="shared" si="26"/>
        <v>0</v>
      </c>
      <c r="L116" s="51">
        <f t="shared" si="22"/>
        <v>0</v>
      </c>
      <c r="M116" s="64">
        <f t="shared" si="27"/>
        <v>0</v>
      </c>
      <c r="P116" s="186"/>
    </row>
    <row r="117" spans="1:16" s="79" customFormat="1" ht="15" customHeight="1" x14ac:dyDescent="0.15">
      <c r="A117" s="302">
        <v>99350176826</v>
      </c>
      <c r="B117" s="303" t="s">
        <v>376</v>
      </c>
      <c r="C117" s="309" t="s">
        <v>475</v>
      </c>
      <c r="D117" s="331" t="s">
        <v>508</v>
      </c>
      <c r="E117" s="52">
        <v>187.44</v>
      </c>
      <c r="F117" s="80"/>
      <c r="G117" s="477"/>
      <c r="H117" s="255">
        <f t="shared" si="25"/>
        <v>0</v>
      </c>
      <c r="I117" s="50">
        <f t="shared" si="19"/>
        <v>0</v>
      </c>
      <c r="J117" s="63">
        <f t="shared" si="24"/>
        <v>0</v>
      </c>
      <c r="K117" s="64">
        <f t="shared" si="26"/>
        <v>0</v>
      </c>
      <c r="L117" s="51">
        <f t="shared" si="22"/>
        <v>0</v>
      </c>
      <c r="M117" s="64">
        <f t="shared" si="27"/>
        <v>0</v>
      </c>
      <c r="P117" s="186"/>
    </row>
    <row r="118" spans="1:16" s="79" customFormat="1" ht="15" customHeight="1" x14ac:dyDescent="0.15">
      <c r="A118" s="330">
        <v>99350187312</v>
      </c>
      <c r="B118" s="303" t="s">
        <v>376</v>
      </c>
      <c r="C118" s="309" t="s">
        <v>475</v>
      </c>
      <c r="D118" s="329" t="s">
        <v>380</v>
      </c>
      <c r="E118" s="52">
        <v>187.44</v>
      </c>
      <c r="F118" s="80"/>
      <c r="G118" s="477"/>
      <c r="H118" s="255">
        <f t="shared" si="25"/>
        <v>0</v>
      </c>
      <c r="I118" s="50">
        <f t="shared" si="19"/>
        <v>0</v>
      </c>
      <c r="J118" s="63">
        <f t="shared" si="24"/>
        <v>0</v>
      </c>
      <c r="K118" s="64">
        <f t="shared" si="26"/>
        <v>0</v>
      </c>
      <c r="L118" s="51">
        <f t="shared" si="22"/>
        <v>0</v>
      </c>
      <c r="M118" s="64">
        <f t="shared" si="27"/>
        <v>0</v>
      </c>
      <c r="P118" s="186"/>
    </row>
    <row r="119" spans="1:16" s="79" customFormat="1" ht="15" customHeight="1" x14ac:dyDescent="0.15">
      <c r="A119" s="302">
        <v>99350177247</v>
      </c>
      <c r="B119" s="303" t="s">
        <v>376</v>
      </c>
      <c r="C119" s="309" t="s">
        <v>475</v>
      </c>
      <c r="D119" s="331" t="s">
        <v>488</v>
      </c>
      <c r="E119" s="52">
        <v>187.44</v>
      </c>
      <c r="F119" s="80"/>
      <c r="G119" s="477"/>
      <c r="H119" s="255">
        <f t="shared" si="25"/>
        <v>0</v>
      </c>
      <c r="I119" s="50">
        <f t="shared" si="19"/>
        <v>0</v>
      </c>
      <c r="J119" s="63">
        <f t="shared" si="24"/>
        <v>0</v>
      </c>
      <c r="K119" s="64">
        <f t="shared" si="26"/>
        <v>0</v>
      </c>
      <c r="L119" s="51">
        <f t="shared" si="22"/>
        <v>0</v>
      </c>
      <c r="M119" s="64">
        <f t="shared" si="27"/>
        <v>0</v>
      </c>
      <c r="P119" s="186"/>
    </row>
    <row r="120" spans="1:16" s="79" customFormat="1" ht="15" customHeight="1" x14ac:dyDescent="0.15">
      <c r="A120" s="302">
        <v>99350177023</v>
      </c>
      <c r="B120" s="303" t="s">
        <v>376</v>
      </c>
      <c r="C120" s="309" t="s">
        <v>475</v>
      </c>
      <c r="D120" s="331" t="s">
        <v>507</v>
      </c>
      <c r="E120" s="52">
        <v>187.44</v>
      </c>
      <c r="F120" s="80"/>
      <c r="G120" s="477"/>
      <c r="H120" s="255">
        <f t="shared" si="25"/>
        <v>0</v>
      </c>
      <c r="I120" s="50">
        <f t="shared" si="19"/>
        <v>0</v>
      </c>
      <c r="J120" s="63">
        <f t="shared" si="24"/>
        <v>0</v>
      </c>
      <c r="K120" s="64">
        <f t="shared" si="26"/>
        <v>0</v>
      </c>
      <c r="L120" s="51">
        <f t="shared" si="22"/>
        <v>0</v>
      </c>
      <c r="M120" s="64">
        <f t="shared" si="27"/>
        <v>0</v>
      </c>
      <c r="P120" s="186"/>
    </row>
    <row r="121" spans="1:16" s="79" customFormat="1" ht="15" customHeight="1" x14ac:dyDescent="0.15">
      <c r="A121" s="302">
        <v>99350176996</v>
      </c>
      <c r="B121" s="303" t="s">
        <v>376</v>
      </c>
      <c r="C121" s="309" t="s">
        <v>475</v>
      </c>
      <c r="D121" s="331" t="s">
        <v>498</v>
      </c>
      <c r="E121" s="52">
        <v>187.44</v>
      </c>
      <c r="F121" s="80"/>
      <c r="G121" s="477"/>
      <c r="H121" s="255">
        <f t="shared" si="25"/>
        <v>0</v>
      </c>
      <c r="I121" s="50">
        <f t="shared" si="19"/>
        <v>0</v>
      </c>
      <c r="J121" s="63">
        <f t="shared" si="24"/>
        <v>0</v>
      </c>
      <c r="K121" s="64">
        <f t="shared" si="26"/>
        <v>0</v>
      </c>
      <c r="L121" s="51">
        <f t="shared" si="22"/>
        <v>0</v>
      </c>
      <c r="M121" s="64">
        <f t="shared" si="27"/>
        <v>0</v>
      </c>
      <c r="P121" s="186"/>
    </row>
    <row r="122" spans="1:16" s="79" customFormat="1" ht="15" customHeight="1" x14ac:dyDescent="0.15">
      <c r="A122" s="302">
        <v>99350176858</v>
      </c>
      <c r="B122" s="303" t="s">
        <v>376</v>
      </c>
      <c r="C122" s="309" t="s">
        <v>475</v>
      </c>
      <c r="D122" s="331" t="s">
        <v>494</v>
      </c>
      <c r="E122" s="52">
        <v>187.44</v>
      </c>
      <c r="F122" s="80"/>
      <c r="G122" s="477"/>
      <c r="H122" s="255">
        <f t="shared" si="25"/>
        <v>0</v>
      </c>
      <c r="I122" s="50">
        <f t="shared" si="19"/>
        <v>0</v>
      </c>
      <c r="J122" s="63">
        <f t="shared" si="24"/>
        <v>0</v>
      </c>
      <c r="K122" s="64">
        <f t="shared" si="26"/>
        <v>0</v>
      </c>
      <c r="L122" s="51">
        <f t="shared" si="22"/>
        <v>0</v>
      </c>
      <c r="M122" s="64">
        <f t="shared" si="27"/>
        <v>0</v>
      </c>
      <c r="P122" s="186"/>
    </row>
    <row r="123" spans="1:16" s="79" customFormat="1" ht="15" customHeight="1" x14ac:dyDescent="0.15">
      <c r="A123" s="302">
        <v>99350176845</v>
      </c>
      <c r="B123" s="303" t="s">
        <v>376</v>
      </c>
      <c r="C123" s="309" t="s">
        <v>475</v>
      </c>
      <c r="D123" s="331" t="s">
        <v>495</v>
      </c>
      <c r="E123" s="52">
        <v>187.44</v>
      </c>
      <c r="F123" s="80"/>
      <c r="G123" s="477"/>
      <c r="H123" s="255">
        <f t="shared" si="25"/>
        <v>0</v>
      </c>
      <c r="I123" s="50">
        <f t="shared" si="19"/>
        <v>0</v>
      </c>
      <c r="J123" s="63">
        <f t="shared" si="24"/>
        <v>0</v>
      </c>
      <c r="K123" s="64">
        <f t="shared" si="26"/>
        <v>0</v>
      </c>
      <c r="L123" s="51">
        <f t="shared" si="22"/>
        <v>0</v>
      </c>
      <c r="M123" s="64">
        <f t="shared" si="27"/>
        <v>0</v>
      </c>
      <c r="P123" s="186"/>
    </row>
    <row r="124" spans="1:16" s="79" customFormat="1" ht="15" customHeight="1" x14ac:dyDescent="0.15">
      <c r="A124" s="330">
        <v>99350187298</v>
      </c>
      <c r="B124" s="303" t="s">
        <v>376</v>
      </c>
      <c r="C124" s="309" t="s">
        <v>475</v>
      </c>
      <c r="D124" s="329" t="s">
        <v>416</v>
      </c>
      <c r="E124" s="52">
        <v>187.44</v>
      </c>
      <c r="F124" s="80"/>
      <c r="G124" s="477"/>
      <c r="H124" s="255">
        <f t="shared" si="25"/>
        <v>0</v>
      </c>
      <c r="I124" s="50">
        <f t="shared" si="19"/>
        <v>0</v>
      </c>
      <c r="J124" s="63">
        <f t="shared" si="24"/>
        <v>0</v>
      </c>
      <c r="K124" s="64">
        <f t="shared" si="26"/>
        <v>0</v>
      </c>
      <c r="L124" s="51">
        <f t="shared" si="22"/>
        <v>0</v>
      </c>
      <c r="M124" s="64">
        <f t="shared" si="27"/>
        <v>0</v>
      </c>
      <c r="P124" s="186"/>
    </row>
    <row r="125" spans="1:16" s="79" customFormat="1" ht="15" customHeight="1" x14ac:dyDescent="0.15">
      <c r="A125" s="330">
        <v>99350187283</v>
      </c>
      <c r="B125" s="303" t="s">
        <v>376</v>
      </c>
      <c r="C125" s="309" t="s">
        <v>475</v>
      </c>
      <c r="D125" s="329" t="s">
        <v>404</v>
      </c>
      <c r="E125" s="52">
        <v>187.44</v>
      </c>
      <c r="F125" s="80"/>
      <c r="G125" s="477"/>
      <c r="H125" s="255">
        <f t="shared" si="25"/>
        <v>0</v>
      </c>
      <c r="I125" s="50">
        <f t="shared" si="19"/>
        <v>0</v>
      </c>
      <c r="J125" s="63">
        <f t="shared" si="24"/>
        <v>0</v>
      </c>
      <c r="K125" s="64">
        <f t="shared" si="26"/>
        <v>0</v>
      </c>
      <c r="L125" s="51">
        <f t="shared" si="22"/>
        <v>0</v>
      </c>
      <c r="M125" s="64">
        <f t="shared" si="27"/>
        <v>0</v>
      </c>
      <c r="P125" s="186"/>
    </row>
    <row r="126" spans="1:16" s="79" customFormat="1" ht="15" customHeight="1" x14ac:dyDescent="0.15">
      <c r="A126" s="330">
        <v>99350187258</v>
      </c>
      <c r="B126" s="303" t="s">
        <v>376</v>
      </c>
      <c r="C126" s="309" t="s">
        <v>475</v>
      </c>
      <c r="D126" s="329" t="s">
        <v>389</v>
      </c>
      <c r="E126" s="52">
        <v>187.44</v>
      </c>
      <c r="F126" s="80"/>
      <c r="G126" s="477"/>
      <c r="H126" s="255">
        <f t="shared" si="25"/>
        <v>0</v>
      </c>
      <c r="I126" s="50">
        <f t="shared" si="19"/>
        <v>0</v>
      </c>
      <c r="J126" s="63">
        <f t="shared" si="24"/>
        <v>0</v>
      </c>
      <c r="K126" s="64">
        <f t="shared" si="26"/>
        <v>0</v>
      </c>
      <c r="L126" s="51">
        <f t="shared" si="22"/>
        <v>0</v>
      </c>
      <c r="M126" s="64">
        <f t="shared" si="27"/>
        <v>0</v>
      </c>
      <c r="P126" s="186"/>
    </row>
    <row r="127" spans="1:16" s="79" customFormat="1" ht="15" customHeight="1" x14ac:dyDescent="0.15">
      <c r="A127" s="330">
        <v>99350187299</v>
      </c>
      <c r="B127" s="303" t="s">
        <v>376</v>
      </c>
      <c r="C127" s="309" t="s">
        <v>475</v>
      </c>
      <c r="D127" s="329" t="s">
        <v>391</v>
      </c>
      <c r="E127" s="52">
        <v>187.44</v>
      </c>
      <c r="F127" s="80"/>
      <c r="G127" s="477"/>
      <c r="H127" s="255">
        <f t="shared" si="25"/>
        <v>0</v>
      </c>
      <c r="I127" s="50">
        <f t="shared" si="19"/>
        <v>0</v>
      </c>
      <c r="J127" s="63">
        <f t="shared" si="24"/>
        <v>0</v>
      </c>
      <c r="K127" s="64">
        <f t="shared" si="26"/>
        <v>0</v>
      </c>
      <c r="L127" s="51">
        <f t="shared" si="22"/>
        <v>0</v>
      </c>
      <c r="M127" s="64">
        <f t="shared" si="27"/>
        <v>0</v>
      </c>
      <c r="P127" s="186"/>
    </row>
    <row r="128" spans="1:16" s="79" customFormat="1" ht="15" customHeight="1" x14ac:dyDescent="0.15">
      <c r="A128" s="330">
        <v>99350187293</v>
      </c>
      <c r="B128" s="303" t="s">
        <v>376</v>
      </c>
      <c r="C128" s="309" t="s">
        <v>475</v>
      </c>
      <c r="D128" s="329" t="s">
        <v>421</v>
      </c>
      <c r="E128" s="52">
        <v>187.44</v>
      </c>
      <c r="F128" s="80"/>
      <c r="G128" s="477"/>
      <c r="H128" s="255">
        <f t="shared" si="25"/>
        <v>0</v>
      </c>
      <c r="I128" s="50">
        <f t="shared" si="19"/>
        <v>0</v>
      </c>
      <c r="J128" s="63">
        <f t="shared" si="24"/>
        <v>0</v>
      </c>
      <c r="K128" s="64">
        <f t="shared" si="26"/>
        <v>0</v>
      </c>
      <c r="L128" s="51">
        <f t="shared" si="22"/>
        <v>0</v>
      </c>
      <c r="M128" s="64">
        <f t="shared" si="27"/>
        <v>0</v>
      </c>
      <c r="P128" s="186"/>
    </row>
    <row r="129" spans="1:16" s="79" customFormat="1" ht="15" customHeight="1" x14ac:dyDescent="0.15">
      <c r="A129" s="330">
        <v>99350187287</v>
      </c>
      <c r="B129" s="303" t="s">
        <v>376</v>
      </c>
      <c r="C129" s="309" t="s">
        <v>475</v>
      </c>
      <c r="D129" s="329" t="s">
        <v>379</v>
      </c>
      <c r="E129" s="52">
        <v>187.44</v>
      </c>
      <c r="F129" s="80"/>
      <c r="G129" s="477"/>
      <c r="H129" s="255">
        <f t="shared" si="25"/>
        <v>0</v>
      </c>
      <c r="I129" s="50">
        <f t="shared" si="19"/>
        <v>0</v>
      </c>
      <c r="J129" s="63">
        <f t="shared" si="24"/>
        <v>0</v>
      </c>
      <c r="K129" s="64">
        <f t="shared" si="26"/>
        <v>0</v>
      </c>
      <c r="L129" s="51">
        <f t="shared" si="22"/>
        <v>0</v>
      </c>
      <c r="M129" s="64">
        <f t="shared" si="27"/>
        <v>0</v>
      </c>
      <c r="P129" s="186"/>
    </row>
    <row r="130" spans="1:16" s="79" customFormat="1" ht="15" customHeight="1" x14ac:dyDescent="0.15">
      <c r="A130" s="302">
        <v>99350177026</v>
      </c>
      <c r="B130" s="303" t="s">
        <v>376</v>
      </c>
      <c r="C130" s="309" t="s">
        <v>475</v>
      </c>
      <c r="D130" s="331" t="s">
        <v>485</v>
      </c>
      <c r="E130" s="52">
        <v>187.44</v>
      </c>
      <c r="F130" s="80"/>
      <c r="G130" s="477"/>
      <c r="H130" s="255">
        <f t="shared" si="25"/>
        <v>0</v>
      </c>
      <c r="I130" s="50">
        <f t="shared" si="19"/>
        <v>0</v>
      </c>
      <c r="J130" s="63">
        <f t="shared" si="24"/>
        <v>0</v>
      </c>
      <c r="K130" s="64">
        <f t="shared" si="26"/>
        <v>0</v>
      </c>
      <c r="L130" s="51">
        <f t="shared" si="22"/>
        <v>0</v>
      </c>
      <c r="M130" s="64">
        <f t="shared" si="27"/>
        <v>0</v>
      </c>
      <c r="P130" s="186"/>
    </row>
    <row r="131" spans="1:16" s="79" customFormat="1" ht="15" customHeight="1" x14ac:dyDescent="0.15">
      <c r="A131" s="330">
        <v>99350187286</v>
      </c>
      <c r="B131" s="303" t="s">
        <v>376</v>
      </c>
      <c r="C131" s="309" t="s">
        <v>475</v>
      </c>
      <c r="D131" s="329" t="s">
        <v>396</v>
      </c>
      <c r="E131" s="52">
        <v>187.44</v>
      </c>
      <c r="F131" s="80"/>
      <c r="G131" s="477"/>
      <c r="H131" s="255">
        <f t="shared" si="25"/>
        <v>0</v>
      </c>
      <c r="I131" s="50">
        <f t="shared" si="19"/>
        <v>0</v>
      </c>
      <c r="J131" s="63">
        <f t="shared" si="24"/>
        <v>0</v>
      </c>
      <c r="K131" s="64">
        <f t="shared" si="26"/>
        <v>0</v>
      </c>
      <c r="L131" s="51">
        <f t="shared" si="22"/>
        <v>0</v>
      </c>
      <c r="M131" s="64">
        <f t="shared" si="27"/>
        <v>0</v>
      </c>
      <c r="P131" s="186"/>
    </row>
    <row r="132" spans="1:16" s="79" customFormat="1" ht="15" customHeight="1" x14ac:dyDescent="0.15">
      <c r="A132" s="302">
        <v>99350176848</v>
      </c>
      <c r="B132" s="303" t="s">
        <v>376</v>
      </c>
      <c r="C132" s="309" t="s">
        <v>475</v>
      </c>
      <c r="D132" s="331" t="s">
        <v>490</v>
      </c>
      <c r="E132" s="52">
        <v>187.44</v>
      </c>
      <c r="F132" s="80"/>
      <c r="G132" s="477"/>
      <c r="H132" s="255">
        <f t="shared" si="25"/>
        <v>0</v>
      </c>
      <c r="I132" s="50">
        <f t="shared" si="19"/>
        <v>0</v>
      </c>
      <c r="J132" s="63">
        <f t="shared" si="24"/>
        <v>0</v>
      </c>
      <c r="K132" s="64">
        <f t="shared" si="26"/>
        <v>0</v>
      </c>
      <c r="L132" s="51">
        <f t="shared" si="22"/>
        <v>0</v>
      </c>
      <c r="M132" s="64">
        <f t="shared" si="27"/>
        <v>0</v>
      </c>
      <c r="P132" s="186"/>
    </row>
    <row r="133" spans="1:16" s="79" customFormat="1" ht="15" customHeight="1" x14ac:dyDescent="0.15">
      <c r="A133" s="330">
        <v>99350187292</v>
      </c>
      <c r="B133" s="303" t="s">
        <v>376</v>
      </c>
      <c r="C133" s="309" t="s">
        <v>475</v>
      </c>
      <c r="D133" s="329" t="s">
        <v>403</v>
      </c>
      <c r="E133" s="52">
        <v>187.44</v>
      </c>
      <c r="F133" s="80"/>
      <c r="G133" s="477"/>
      <c r="H133" s="255">
        <f t="shared" si="25"/>
        <v>0</v>
      </c>
      <c r="I133" s="50">
        <f t="shared" si="19"/>
        <v>0</v>
      </c>
      <c r="J133" s="63">
        <f t="shared" si="24"/>
        <v>0</v>
      </c>
      <c r="K133" s="64">
        <f t="shared" si="26"/>
        <v>0</v>
      </c>
      <c r="L133" s="51">
        <f t="shared" si="22"/>
        <v>0</v>
      </c>
      <c r="M133" s="64">
        <f t="shared" si="27"/>
        <v>0</v>
      </c>
      <c r="P133" s="186"/>
    </row>
    <row r="134" spans="1:16" s="79" customFormat="1" ht="15" customHeight="1" x14ac:dyDescent="0.15">
      <c r="A134" s="302">
        <v>99350176851</v>
      </c>
      <c r="B134" s="303" t="s">
        <v>376</v>
      </c>
      <c r="C134" s="309" t="s">
        <v>475</v>
      </c>
      <c r="D134" s="331" t="s">
        <v>502</v>
      </c>
      <c r="E134" s="52">
        <v>187.44</v>
      </c>
      <c r="F134" s="80"/>
      <c r="G134" s="477"/>
      <c r="H134" s="255">
        <f t="shared" si="25"/>
        <v>0</v>
      </c>
      <c r="I134" s="50">
        <f t="shared" si="19"/>
        <v>0</v>
      </c>
      <c r="J134" s="63">
        <f t="shared" si="24"/>
        <v>0</v>
      </c>
      <c r="K134" s="64">
        <f t="shared" si="26"/>
        <v>0</v>
      </c>
      <c r="L134" s="51">
        <f t="shared" si="22"/>
        <v>0</v>
      </c>
      <c r="M134" s="64">
        <f t="shared" si="27"/>
        <v>0</v>
      </c>
      <c r="P134" s="186"/>
    </row>
    <row r="135" spans="1:16" s="79" customFormat="1" ht="15" customHeight="1" x14ac:dyDescent="0.15">
      <c r="A135" s="302">
        <v>99350177014</v>
      </c>
      <c r="B135" s="303" t="s">
        <v>376</v>
      </c>
      <c r="C135" s="309" t="s">
        <v>475</v>
      </c>
      <c r="D135" s="331" t="s">
        <v>503</v>
      </c>
      <c r="E135" s="52">
        <v>187.44</v>
      </c>
      <c r="F135" s="80"/>
      <c r="G135" s="477"/>
      <c r="H135" s="255">
        <f t="shared" si="25"/>
        <v>0</v>
      </c>
      <c r="I135" s="50">
        <f t="shared" si="19"/>
        <v>0</v>
      </c>
      <c r="J135" s="63">
        <f t="shared" si="24"/>
        <v>0</v>
      </c>
      <c r="K135" s="64">
        <f t="shared" si="26"/>
        <v>0</v>
      </c>
      <c r="L135" s="51">
        <f t="shared" si="22"/>
        <v>0</v>
      </c>
      <c r="M135" s="64">
        <f t="shared" si="27"/>
        <v>0</v>
      </c>
      <c r="P135" s="186"/>
    </row>
    <row r="136" spans="1:16" s="79" customFormat="1" ht="15" customHeight="1" x14ac:dyDescent="0.15">
      <c r="A136" s="302">
        <v>99350176968</v>
      </c>
      <c r="B136" s="303" t="s">
        <v>376</v>
      </c>
      <c r="C136" s="309" t="s">
        <v>475</v>
      </c>
      <c r="D136" s="331" t="s">
        <v>506</v>
      </c>
      <c r="E136" s="52">
        <v>187.44</v>
      </c>
      <c r="F136" s="80"/>
      <c r="G136" s="477"/>
      <c r="H136" s="255">
        <f t="shared" si="25"/>
        <v>0</v>
      </c>
      <c r="I136" s="50">
        <f t="shared" si="19"/>
        <v>0</v>
      </c>
      <c r="J136" s="63">
        <f t="shared" si="24"/>
        <v>0</v>
      </c>
      <c r="K136" s="64">
        <f t="shared" si="26"/>
        <v>0</v>
      </c>
      <c r="L136" s="51">
        <f t="shared" si="22"/>
        <v>0</v>
      </c>
      <c r="M136" s="64">
        <f t="shared" si="27"/>
        <v>0</v>
      </c>
      <c r="P136" s="186"/>
    </row>
    <row r="137" spans="1:16" s="79" customFormat="1" ht="15" customHeight="1" x14ac:dyDescent="0.15">
      <c r="A137" s="330">
        <v>99350187305</v>
      </c>
      <c r="B137" s="303" t="s">
        <v>376</v>
      </c>
      <c r="C137" s="309" t="s">
        <v>475</v>
      </c>
      <c r="D137" s="329" t="s">
        <v>414</v>
      </c>
      <c r="E137" s="52">
        <v>187.44</v>
      </c>
      <c r="F137" s="80"/>
      <c r="G137" s="477"/>
      <c r="H137" s="255">
        <f t="shared" si="25"/>
        <v>0</v>
      </c>
      <c r="I137" s="50">
        <f t="shared" si="19"/>
        <v>0</v>
      </c>
      <c r="J137" s="63">
        <f t="shared" si="24"/>
        <v>0</v>
      </c>
      <c r="K137" s="64">
        <f t="shared" si="26"/>
        <v>0</v>
      </c>
      <c r="L137" s="51">
        <f t="shared" si="22"/>
        <v>0</v>
      </c>
      <c r="M137" s="64">
        <f t="shared" si="27"/>
        <v>0</v>
      </c>
      <c r="P137" s="186"/>
    </row>
    <row r="138" spans="1:16" s="79" customFormat="1" ht="15" customHeight="1" x14ac:dyDescent="0.15">
      <c r="A138" s="330">
        <v>99350187303</v>
      </c>
      <c r="B138" s="303" t="s">
        <v>376</v>
      </c>
      <c r="C138" s="309" t="s">
        <v>475</v>
      </c>
      <c r="D138" s="329" t="s">
        <v>409</v>
      </c>
      <c r="E138" s="52">
        <v>187.44</v>
      </c>
      <c r="F138" s="80"/>
      <c r="G138" s="477"/>
      <c r="H138" s="255">
        <f t="shared" si="25"/>
        <v>0</v>
      </c>
      <c r="I138" s="50">
        <f t="shared" si="19"/>
        <v>0</v>
      </c>
      <c r="J138" s="63">
        <f t="shared" si="24"/>
        <v>0</v>
      </c>
      <c r="K138" s="64">
        <f t="shared" si="26"/>
        <v>0</v>
      </c>
      <c r="L138" s="51">
        <f t="shared" si="22"/>
        <v>0</v>
      </c>
      <c r="M138" s="64">
        <f t="shared" si="27"/>
        <v>0</v>
      </c>
      <c r="P138" s="186"/>
    </row>
    <row r="139" spans="1:16" s="79" customFormat="1" ht="15" customHeight="1" x14ac:dyDescent="0.15">
      <c r="A139" s="302">
        <v>99350176984</v>
      </c>
      <c r="B139" s="303" t="s">
        <v>376</v>
      </c>
      <c r="C139" s="309" t="s">
        <v>475</v>
      </c>
      <c r="D139" s="331" t="s">
        <v>497</v>
      </c>
      <c r="E139" s="52">
        <v>187.44</v>
      </c>
      <c r="F139" s="80"/>
      <c r="G139" s="477"/>
      <c r="H139" s="255">
        <f t="shared" si="25"/>
        <v>0</v>
      </c>
      <c r="I139" s="50">
        <f t="shared" si="19"/>
        <v>0</v>
      </c>
      <c r="J139" s="63">
        <f t="shared" si="24"/>
        <v>0</v>
      </c>
      <c r="K139" s="64">
        <f t="shared" si="26"/>
        <v>0</v>
      </c>
      <c r="L139" s="51">
        <f t="shared" si="22"/>
        <v>0</v>
      </c>
      <c r="M139" s="64">
        <f t="shared" si="27"/>
        <v>0</v>
      </c>
      <c r="P139" s="186"/>
    </row>
    <row r="140" spans="1:16" s="79" customFormat="1" ht="15" customHeight="1" x14ac:dyDescent="0.15">
      <c r="A140" s="330">
        <v>99350187268</v>
      </c>
      <c r="B140" s="303" t="s">
        <v>376</v>
      </c>
      <c r="C140" s="309" t="s">
        <v>475</v>
      </c>
      <c r="D140" s="329" t="s">
        <v>415</v>
      </c>
      <c r="E140" s="52">
        <v>187.44</v>
      </c>
      <c r="F140" s="80"/>
      <c r="G140" s="477"/>
      <c r="H140" s="255">
        <f t="shared" si="25"/>
        <v>0</v>
      </c>
      <c r="I140" s="50">
        <f t="shared" si="19"/>
        <v>0</v>
      </c>
      <c r="J140" s="63">
        <f t="shared" si="24"/>
        <v>0</v>
      </c>
      <c r="K140" s="64">
        <f t="shared" si="26"/>
        <v>0</v>
      </c>
      <c r="L140" s="51">
        <f t="shared" si="22"/>
        <v>0</v>
      </c>
      <c r="M140" s="64">
        <f t="shared" si="27"/>
        <v>0</v>
      </c>
      <c r="P140" s="186"/>
    </row>
    <row r="141" spans="1:16" s="79" customFormat="1" ht="15" customHeight="1" x14ac:dyDescent="0.15">
      <c r="A141" s="330">
        <v>99350187300</v>
      </c>
      <c r="B141" s="303" t="s">
        <v>376</v>
      </c>
      <c r="C141" s="309" t="s">
        <v>475</v>
      </c>
      <c r="D141" s="329" t="s">
        <v>401</v>
      </c>
      <c r="E141" s="52">
        <v>187.44</v>
      </c>
      <c r="F141" s="80"/>
      <c r="G141" s="477"/>
      <c r="H141" s="255">
        <f t="shared" si="25"/>
        <v>0</v>
      </c>
      <c r="I141" s="50">
        <f t="shared" si="19"/>
        <v>0</v>
      </c>
      <c r="J141" s="63">
        <f t="shared" si="24"/>
        <v>0</v>
      </c>
      <c r="K141" s="64">
        <f t="shared" si="26"/>
        <v>0</v>
      </c>
      <c r="L141" s="51">
        <f t="shared" si="22"/>
        <v>0</v>
      </c>
      <c r="M141" s="64">
        <f t="shared" si="27"/>
        <v>0</v>
      </c>
      <c r="P141" s="186"/>
    </row>
    <row r="142" spans="1:16" s="79" customFormat="1" ht="15" customHeight="1" x14ac:dyDescent="0.15">
      <c r="A142" s="302">
        <v>99350176965</v>
      </c>
      <c r="B142" s="303" t="s">
        <v>376</v>
      </c>
      <c r="C142" s="309" t="s">
        <v>475</v>
      </c>
      <c r="D142" s="331" t="s">
        <v>489</v>
      </c>
      <c r="E142" s="52">
        <v>187.44</v>
      </c>
      <c r="F142" s="80"/>
      <c r="G142" s="477"/>
      <c r="H142" s="255">
        <f t="shared" si="25"/>
        <v>0</v>
      </c>
      <c r="I142" s="50">
        <f t="shared" si="19"/>
        <v>0</v>
      </c>
      <c r="J142" s="63">
        <f t="shared" si="24"/>
        <v>0</v>
      </c>
      <c r="K142" s="64">
        <f t="shared" si="26"/>
        <v>0</v>
      </c>
      <c r="L142" s="51">
        <f t="shared" si="22"/>
        <v>0</v>
      </c>
      <c r="M142" s="64">
        <f t="shared" si="27"/>
        <v>0</v>
      </c>
      <c r="P142" s="186"/>
    </row>
    <row r="143" spans="1:16" s="79" customFormat="1" ht="15" customHeight="1" x14ac:dyDescent="0.15">
      <c r="A143" s="330">
        <v>99350187302</v>
      </c>
      <c r="B143" s="303" t="s">
        <v>376</v>
      </c>
      <c r="C143" s="309" t="s">
        <v>475</v>
      </c>
      <c r="D143" s="329" t="s">
        <v>387</v>
      </c>
      <c r="E143" s="52">
        <v>187.44</v>
      </c>
      <c r="F143" s="80"/>
      <c r="G143" s="477"/>
      <c r="H143" s="255">
        <f t="shared" si="25"/>
        <v>0</v>
      </c>
      <c r="I143" s="50">
        <f t="shared" si="19"/>
        <v>0</v>
      </c>
      <c r="J143" s="63">
        <f t="shared" si="24"/>
        <v>0</v>
      </c>
      <c r="K143" s="64">
        <f t="shared" si="26"/>
        <v>0</v>
      </c>
      <c r="L143" s="51">
        <f t="shared" si="22"/>
        <v>0</v>
      </c>
      <c r="M143" s="64">
        <f t="shared" si="27"/>
        <v>0</v>
      </c>
      <c r="P143" s="186"/>
    </row>
    <row r="144" spans="1:16" s="79" customFormat="1" ht="15" customHeight="1" x14ac:dyDescent="0.15">
      <c r="A144" s="302">
        <v>99350176975</v>
      </c>
      <c r="B144" s="303" t="s">
        <v>376</v>
      </c>
      <c r="C144" s="309" t="s">
        <v>475</v>
      </c>
      <c r="D144" s="331" t="s">
        <v>504</v>
      </c>
      <c r="E144" s="52">
        <v>187.44</v>
      </c>
      <c r="F144" s="80"/>
      <c r="G144" s="477"/>
      <c r="H144" s="255">
        <f t="shared" si="25"/>
        <v>0</v>
      </c>
      <c r="I144" s="50">
        <f t="shared" si="19"/>
        <v>0</v>
      </c>
      <c r="J144" s="63">
        <f t="shared" si="24"/>
        <v>0</v>
      </c>
      <c r="K144" s="64">
        <f t="shared" si="26"/>
        <v>0</v>
      </c>
      <c r="L144" s="51">
        <f t="shared" si="22"/>
        <v>0</v>
      </c>
      <c r="M144" s="64">
        <f t="shared" si="27"/>
        <v>0</v>
      </c>
      <c r="P144" s="186"/>
    </row>
    <row r="145" spans="1:16" s="79" customFormat="1" ht="15" customHeight="1" x14ac:dyDescent="0.15">
      <c r="A145" s="330">
        <v>99350187279</v>
      </c>
      <c r="B145" s="303" t="s">
        <v>376</v>
      </c>
      <c r="C145" s="309" t="s">
        <v>475</v>
      </c>
      <c r="D145" s="329" t="s">
        <v>419</v>
      </c>
      <c r="E145" s="52">
        <v>187.44</v>
      </c>
      <c r="F145" s="80"/>
      <c r="G145" s="477"/>
      <c r="H145" s="255">
        <f t="shared" si="25"/>
        <v>0</v>
      </c>
      <c r="I145" s="50">
        <f t="shared" si="19"/>
        <v>0</v>
      </c>
      <c r="J145" s="63">
        <f t="shared" si="24"/>
        <v>0</v>
      </c>
      <c r="K145" s="64">
        <f t="shared" si="26"/>
        <v>0</v>
      </c>
      <c r="L145" s="51">
        <f t="shared" si="22"/>
        <v>0</v>
      </c>
      <c r="M145" s="64">
        <f t="shared" si="27"/>
        <v>0</v>
      </c>
      <c r="P145" s="186"/>
    </row>
    <row r="146" spans="1:16" s="79" customFormat="1" ht="15" customHeight="1" x14ac:dyDescent="0.15">
      <c r="A146" s="330">
        <v>99350187318</v>
      </c>
      <c r="B146" s="303" t="s">
        <v>376</v>
      </c>
      <c r="C146" s="309" t="s">
        <v>475</v>
      </c>
      <c r="D146" s="329" t="s">
        <v>423</v>
      </c>
      <c r="E146" s="52">
        <v>187.44</v>
      </c>
      <c r="F146" s="80"/>
      <c r="G146" s="477"/>
      <c r="H146" s="255">
        <f t="shared" si="25"/>
        <v>0</v>
      </c>
      <c r="I146" s="50">
        <f t="shared" si="19"/>
        <v>0</v>
      </c>
      <c r="J146" s="63">
        <f t="shared" si="24"/>
        <v>0</v>
      </c>
      <c r="K146" s="64">
        <f t="shared" si="26"/>
        <v>0</v>
      </c>
      <c r="L146" s="51">
        <f t="shared" si="22"/>
        <v>0</v>
      </c>
      <c r="M146" s="64">
        <f t="shared" si="27"/>
        <v>0</v>
      </c>
      <c r="P146" s="186"/>
    </row>
    <row r="147" spans="1:16" s="79" customFormat="1" ht="15" customHeight="1" x14ac:dyDescent="0.15">
      <c r="A147" s="330">
        <v>99350187263</v>
      </c>
      <c r="B147" s="303" t="s">
        <v>376</v>
      </c>
      <c r="C147" s="309" t="s">
        <v>475</v>
      </c>
      <c r="D147" s="329" t="s">
        <v>377</v>
      </c>
      <c r="E147" s="52">
        <v>187.44</v>
      </c>
      <c r="F147" s="80"/>
      <c r="G147" s="477"/>
      <c r="H147" s="255">
        <f t="shared" si="25"/>
        <v>0</v>
      </c>
      <c r="I147" s="50">
        <f t="shared" si="19"/>
        <v>0</v>
      </c>
      <c r="J147" s="63">
        <f t="shared" si="24"/>
        <v>0</v>
      </c>
      <c r="K147" s="64">
        <f t="shared" si="26"/>
        <v>0</v>
      </c>
      <c r="L147" s="51">
        <f t="shared" si="22"/>
        <v>0</v>
      </c>
      <c r="M147" s="64">
        <f t="shared" si="27"/>
        <v>0</v>
      </c>
      <c r="P147" s="186"/>
    </row>
    <row r="148" spans="1:16" s="79" customFormat="1" ht="15" customHeight="1" x14ac:dyDescent="0.15">
      <c r="A148" s="330">
        <v>99350187304</v>
      </c>
      <c r="B148" s="303" t="s">
        <v>376</v>
      </c>
      <c r="C148" s="309" t="s">
        <v>475</v>
      </c>
      <c r="D148" s="329" t="s">
        <v>393</v>
      </c>
      <c r="E148" s="52">
        <v>187.44</v>
      </c>
      <c r="F148" s="80"/>
      <c r="G148" s="477"/>
      <c r="H148" s="255">
        <f t="shared" si="25"/>
        <v>0</v>
      </c>
      <c r="I148" s="50">
        <f t="shared" si="19"/>
        <v>0</v>
      </c>
      <c r="J148" s="63">
        <f t="shared" si="24"/>
        <v>0</v>
      </c>
      <c r="K148" s="64">
        <f t="shared" si="26"/>
        <v>0</v>
      </c>
      <c r="L148" s="51">
        <f t="shared" si="22"/>
        <v>0</v>
      </c>
      <c r="M148" s="64">
        <f t="shared" si="27"/>
        <v>0</v>
      </c>
      <c r="P148" s="186"/>
    </row>
    <row r="149" spans="1:16" s="79" customFormat="1" ht="15" customHeight="1" x14ac:dyDescent="0.15">
      <c r="A149" s="330">
        <v>99350187285</v>
      </c>
      <c r="B149" s="303" t="s">
        <v>376</v>
      </c>
      <c r="C149" s="309" t="s">
        <v>475</v>
      </c>
      <c r="D149" s="329" t="s">
        <v>395</v>
      </c>
      <c r="E149" s="52">
        <v>187.44</v>
      </c>
      <c r="F149" s="80"/>
      <c r="G149" s="477"/>
      <c r="H149" s="255">
        <f t="shared" si="25"/>
        <v>0</v>
      </c>
      <c r="I149" s="50">
        <f t="shared" si="19"/>
        <v>0</v>
      </c>
      <c r="J149" s="63">
        <f t="shared" si="24"/>
        <v>0</v>
      </c>
      <c r="K149" s="64">
        <f t="shared" si="26"/>
        <v>0</v>
      </c>
      <c r="L149" s="51">
        <f t="shared" si="22"/>
        <v>0</v>
      </c>
      <c r="M149" s="64">
        <f t="shared" si="27"/>
        <v>0</v>
      </c>
      <c r="P149" s="186"/>
    </row>
    <row r="150" spans="1:16" s="79" customFormat="1" ht="15" customHeight="1" x14ac:dyDescent="0.15">
      <c r="A150" s="302">
        <v>99350176983</v>
      </c>
      <c r="B150" s="303" t="s">
        <v>376</v>
      </c>
      <c r="C150" s="309" t="s">
        <v>475</v>
      </c>
      <c r="D150" s="331" t="s">
        <v>491</v>
      </c>
      <c r="E150" s="52">
        <v>187.44</v>
      </c>
      <c r="F150" s="80"/>
      <c r="G150" s="477"/>
      <c r="H150" s="255">
        <f t="shared" si="25"/>
        <v>0</v>
      </c>
      <c r="I150" s="50">
        <f t="shared" si="19"/>
        <v>0</v>
      </c>
      <c r="J150" s="63">
        <f t="shared" si="24"/>
        <v>0</v>
      </c>
      <c r="K150" s="64">
        <f t="shared" si="26"/>
        <v>0</v>
      </c>
      <c r="L150" s="51">
        <f t="shared" si="22"/>
        <v>0</v>
      </c>
      <c r="M150" s="64">
        <f t="shared" si="27"/>
        <v>0</v>
      </c>
      <c r="P150" s="186"/>
    </row>
    <row r="151" spans="1:16" s="79" customFormat="1" ht="15" customHeight="1" x14ac:dyDescent="0.15">
      <c r="A151" s="330">
        <v>99350187273</v>
      </c>
      <c r="B151" s="303" t="s">
        <v>376</v>
      </c>
      <c r="C151" s="309" t="s">
        <v>475</v>
      </c>
      <c r="D151" s="329" t="s">
        <v>402</v>
      </c>
      <c r="E151" s="52">
        <v>187.44</v>
      </c>
      <c r="F151" s="80"/>
      <c r="G151" s="477"/>
      <c r="H151" s="255">
        <f t="shared" si="25"/>
        <v>0</v>
      </c>
      <c r="I151" s="50">
        <f t="shared" si="19"/>
        <v>0</v>
      </c>
      <c r="J151" s="63">
        <f t="shared" si="24"/>
        <v>0</v>
      </c>
      <c r="K151" s="64">
        <f t="shared" si="26"/>
        <v>0</v>
      </c>
      <c r="L151" s="51">
        <f t="shared" si="22"/>
        <v>0</v>
      </c>
      <c r="M151" s="64">
        <f t="shared" si="27"/>
        <v>0</v>
      </c>
      <c r="P151" s="186"/>
    </row>
    <row r="152" spans="1:16" s="79" customFormat="1" ht="15" customHeight="1" x14ac:dyDescent="0.15">
      <c r="A152" s="330">
        <v>99350187313</v>
      </c>
      <c r="B152" s="303" t="s">
        <v>376</v>
      </c>
      <c r="C152" s="309" t="s">
        <v>475</v>
      </c>
      <c r="D152" s="329" t="s">
        <v>406</v>
      </c>
      <c r="E152" s="52">
        <v>187.44</v>
      </c>
      <c r="F152" s="80"/>
      <c r="G152" s="477"/>
      <c r="H152" s="255">
        <f t="shared" si="25"/>
        <v>0</v>
      </c>
      <c r="I152" s="50">
        <f t="shared" si="19"/>
        <v>0</v>
      </c>
      <c r="J152" s="63">
        <f t="shared" si="24"/>
        <v>0</v>
      </c>
      <c r="K152" s="64">
        <f t="shared" si="26"/>
        <v>0</v>
      </c>
      <c r="L152" s="51">
        <f t="shared" si="22"/>
        <v>0</v>
      </c>
      <c r="M152" s="64">
        <f t="shared" si="27"/>
        <v>0</v>
      </c>
      <c r="P152" s="186"/>
    </row>
    <row r="153" spans="1:16" s="79" customFormat="1" ht="15" customHeight="1" x14ac:dyDescent="0.15">
      <c r="A153" s="330">
        <v>99350187308</v>
      </c>
      <c r="B153" s="303" t="s">
        <v>376</v>
      </c>
      <c r="C153" s="309" t="s">
        <v>475</v>
      </c>
      <c r="D153" s="329" t="s">
        <v>411</v>
      </c>
      <c r="E153" s="52">
        <v>187.44</v>
      </c>
      <c r="F153" s="80"/>
      <c r="G153" s="477"/>
      <c r="H153" s="255">
        <f t="shared" si="25"/>
        <v>0</v>
      </c>
      <c r="I153" s="50">
        <f t="shared" si="19"/>
        <v>0</v>
      </c>
      <c r="J153" s="63">
        <f t="shared" si="24"/>
        <v>0</v>
      </c>
      <c r="K153" s="64">
        <f t="shared" si="26"/>
        <v>0</v>
      </c>
      <c r="L153" s="51">
        <f t="shared" si="22"/>
        <v>0</v>
      </c>
      <c r="M153" s="64">
        <f t="shared" si="27"/>
        <v>0</v>
      </c>
      <c r="P153" s="186"/>
    </row>
    <row r="154" spans="1:16" s="79" customFormat="1" ht="15" customHeight="1" x14ac:dyDescent="0.15">
      <c r="A154" s="330">
        <v>99350187269</v>
      </c>
      <c r="B154" s="303" t="s">
        <v>376</v>
      </c>
      <c r="C154" s="309" t="s">
        <v>475</v>
      </c>
      <c r="D154" s="329" t="s">
        <v>408</v>
      </c>
      <c r="E154" s="52">
        <v>187.44</v>
      </c>
      <c r="F154" s="80"/>
      <c r="G154" s="477"/>
      <c r="H154" s="255">
        <f t="shared" si="25"/>
        <v>0</v>
      </c>
      <c r="I154" s="50">
        <f t="shared" si="19"/>
        <v>0</v>
      </c>
      <c r="J154" s="63">
        <f t="shared" si="24"/>
        <v>0</v>
      </c>
      <c r="K154" s="64">
        <f t="shared" si="26"/>
        <v>0</v>
      </c>
      <c r="L154" s="51">
        <f t="shared" si="22"/>
        <v>0</v>
      </c>
      <c r="M154" s="64">
        <f t="shared" si="27"/>
        <v>0</v>
      </c>
      <c r="P154" s="186"/>
    </row>
    <row r="155" spans="1:16" s="79" customFormat="1" ht="15" customHeight="1" x14ac:dyDescent="0.15">
      <c r="A155" s="330">
        <v>99350187291</v>
      </c>
      <c r="B155" s="303" t="s">
        <v>376</v>
      </c>
      <c r="C155" s="309" t="s">
        <v>475</v>
      </c>
      <c r="D155" s="329" t="s">
        <v>413</v>
      </c>
      <c r="E155" s="52">
        <v>187.44</v>
      </c>
      <c r="F155" s="80"/>
      <c r="G155" s="477"/>
      <c r="H155" s="255">
        <f t="shared" si="25"/>
        <v>0</v>
      </c>
      <c r="I155" s="50">
        <f t="shared" si="19"/>
        <v>0</v>
      </c>
      <c r="J155" s="63">
        <f t="shared" si="24"/>
        <v>0</v>
      </c>
      <c r="K155" s="64">
        <f t="shared" si="26"/>
        <v>0</v>
      </c>
      <c r="L155" s="51">
        <f t="shared" si="22"/>
        <v>0</v>
      </c>
      <c r="M155" s="64">
        <f t="shared" si="27"/>
        <v>0</v>
      </c>
      <c r="P155" s="186"/>
    </row>
    <row r="156" spans="1:16" s="79" customFormat="1" ht="15" customHeight="1" x14ac:dyDescent="0.15">
      <c r="A156" s="330">
        <v>99350187309</v>
      </c>
      <c r="B156" s="303" t="s">
        <v>376</v>
      </c>
      <c r="C156" s="309" t="s">
        <v>475</v>
      </c>
      <c r="D156" s="329" t="s">
        <v>417</v>
      </c>
      <c r="E156" s="52">
        <v>187.44</v>
      </c>
      <c r="F156" s="80"/>
      <c r="G156" s="477"/>
      <c r="H156" s="255">
        <f t="shared" si="25"/>
        <v>0</v>
      </c>
      <c r="I156" s="50">
        <f t="shared" si="19"/>
        <v>0</v>
      </c>
      <c r="J156" s="63">
        <f t="shared" si="24"/>
        <v>0</v>
      </c>
      <c r="K156" s="64">
        <f t="shared" si="26"/>
        <v>0</v>
      </c>
      <c r="L156" s="51">
        <f t="shared" si="22"/>
        <v>0</v>
      </c>
      <c r="M156" s="64">
        <f t="shared" si="27"/>
        <v>0</v>
      </c>
      <c r="P156" s="186"/>
    </row>
    <row r="157" spans="1:16" s="79" customFormat="1" ht="15" customHeight="1" x14ac:dyDescent="0.15">
      <c r="A157" s="330">
        <v>99350187288</v>
      </c>
      <c r="B157" s="303" t="s">
        <v>376</v>
      </c>
      <c r="C157" s="309" t="s">
        <v>475</v>
      </c>
      <c r="D157" s="329" t="s">
        <v>410</v>
      </c>
      <c r="E157" s="52">
        <v>187.44</v>
      </c>
      <c r="F157" s="80"/>
      <c r="G157" s="477"/>
      <c r="H157" s="255">
        <f t="shared" si="25"/>
        <v>0</v>
      </c>
      <c r="I157" s="50">
        <f t="shared" si="19"/>
        <v>0</v>
      </c>
      <c r="J157" s="63">
        <f t="shared" si="24"/>
        <v>0</v>
      </c>
      <c r="K157" s="64">
        <f t="shared" si="26"/>
        <v>0</v>
      </c>
      <c r="L157" s="51">
        <f t="shared" si="22"/>
        <v>0</v>
      </c>
      <c r="M157" s="64">
        <f t="shared" si="27"/>
        <v>0</v>
      </c>
      <c r="P157" s="186"/>
    </row>
    <row r="158" spans="1:16" s="79" customFormat="1" ht="15" customHeight="1" x14ac:dyDescent="0.15">
      <c r="A158" s="330">
        <v>99350187261</v>
      </c>
      <c r="B158" s="303" t="s">
        <v>376</v>
      </c>
      <c r="C158" s="309" t="s">
        <v>475</v>
      </c>
      <c r="D158" s="329" t="s">
        <v>386</v>
      </c>
      <c r="E158" s="52">
        <v>187.44</v>
      </c>
      <c r="F158" s="80"/>
      <c r="G158" s="477"/>
      <c r="H158" s="255">
        <f t="shared" si="25"/>
        <v>0</v>
      </c>
      <c r="I158" s="50">
        <f t="shared" si="19"/>
        <v>0</v>
      </c>
      <c r="J158" s="63">
        <f t="shared" si="24"/>
        <v>0</v>
      </c>
      <c r="K158" s="64">
        <f t="shared" si="26"/>
        <v>0</v>
      </c>
      <c r="L158" s="51">
        <f t="shared" si="22"/>
        <v>0</v>
      </c>
      <c r="M158" s="64">
        <f t="shared" si="27"/>
        <v>0</v>
      </c>
      <c r="P158" s="186"/>
    </row>
    <row r="159" spans="1:16" s="79" customFormat="1" ht="15" customHeight="1" x14ac:dyDescent="0.15">
      <c r="A159" s="330">
        <v>99350187311</v>
      </c>
      <c r="B159" s="303" t="s">
        <v>376</v>
      </c>
      <c r="C159" s="309" t="s">
        <v>475</v>
      </c>
      <c r="D159" s="329" t="s">
        <v>390</v>
      </c>
      <c r="E159" s="52">
        <v>187.44</v>
      </c>
      <c r="F159" s="80"/>
      <c r="G159" s="477"/>
      <c r="H159" s="255">
        <f t="shared" si="25"/>
        <v>0</v>
      </c>
      <c r="I159" s="50">
        <f t="shared" si="19"/>
        <v>0</v>
      </c>
      <c r="J159" s="63">
        <f t="shared" si="24"/>
        <v>0</v>
      </c>
      <c r="K159" s="64">
        <f t="shared" si="26"/>
        <v>0</v>
      </c>
      <c r="L159" s="51">
        <f t="shared" si="22"/>
        <v>0</v>
      </c>
      <c r="M159" s="64">
        <f t="shared" si="27"/>
        <v>0</v>
      </c>
      <c r="P159" s="186"/>
    </row>
    <row r="160" spans="1:16" s="79" customFormat="1" ht="15" customHeight="1" x14ac:dyDescent="0.15">
      <c r="A160" s="330">
        <v>99350187310</v>
      </c>
      <c r="B160" s="303" t="s">
        <v>376</v>
      </c>
      <c r="C160" s="309" t="s">
        <v>475</v>
      </c>
      <c r="D160" s="329" t="s">
        <v>420</v>
      </c>
      <c r="E160" s="52">
        <v>187.44</v>
      </c>
      <c r="F160" s="80"/>
      <c r="G160" s="477"/>
      <c r="H160" s="255">
        <f t="shared" si="25"/>
        <v>0</v>
      </c>
      <c r="I160" s="50">
        <f t="shared" ref="I160:I221" si="28">IF(C160="Faltante",0,E160*F160)</f>
        <v>0</v>
      </c>
      <c r="J160" s="63">
        <f t="shared" si="24"/>
        <v>0</v>
      </c>
      <c r="K160" s="64">
        <f t="shared" si="26"/>
        <v>0</v>
      </c>
      <c r="L160" s="51">
        <f t="shared" ref="L160:L167" si="29">K160*$P$5</f>
        <v>0</v>
      </c>
      <c r="M160" s="64">
        <f t="shared" si="27"/>
        <v>0</v>
      </c>
      <c r="P160" s="186"/>
    </row>
    <row r="161" spans="1:16" s="79" customFormat="1" ht="15" customHeight="1" x14ac:dyDescent="0.15">
      <c r="A161" s="302">
        <v>99350176967</v>
      </c>
      <c r="B161" s="303" t="s">
        <v>376</v>
      </c>
      <c r="C161" s="309" t="s">
        <v>475</v>
      </c>
      <c r="D161" s="331" t="s">
        <v>501</v>
      </c>
      <c r="E161" s="52">
        <v>187.44</v>
      </c>
      <c r="F161" s="80"/>
      <c r="G161" s="477"/>
      <c r="H161" s="255">
        <f t="shared" si="25"/>
        <v>0</v>
      </c>
      <c r="I161" s="50">
        <f t="shared" si="28"/>
        <v>0</v>
      </c>
      <c r="J161" s="63">
        <f t="shared" si="24"/>
        <v>0</v>
      </c>
      <c r="K161" s="64">
        <f t="shared" si="26"/>
        <v>0</v>
      </c>
      <c r="L161" s="51">
        <f t="shared" si="29"/>
        <v>0</v>
      </c>
      <c r="M161" s="64">
        <f t="shared" si="27"/>
        <v>0</v>
      </c>
      <c r="P161" s="186"/>
    </row>
    <row r="162" spans="1:16" s="79" customFormat="1" ht="15" customHeight="1" x14ac:dyDescent="0.15">
      <c r="A162" s="302">
        <v>99350176958</v>
      </c>
      <c r="B162" s="303" t="s">
        <v>376</v>
      </c>
      <c r="C162" s="309" t="s">
        <v>475</v>
      </c>
      <c r="D162" s="331" t="s">
        <v>505</v>
      </c>
      <c r="E162" s="52">
        <v>187.44</v>
      </c>
      <c r="F162" s="80"/>
      <c r="G162" s="477"/>
      <c r="H162" s="255">
        <f t="shared" si="25"/>
        <v>0</v>
      </c>
      <c r="I162" s="50">
        <f t="shared" si="28"/>
        <v>0</v>
      </c>
      <c r="J162" s="63">
        <f t="shared" si="24"/>
        <v>0</v>
      </c>
      <c r="K162" s="64">
        <f t="shared" si="26"/>
        <v>0</v>
      </c>
      <c r="L162" s="51">
        <f t="shared" si="29"/>
        <v>0</v>
      </c>
      <c r="M162" s="64">
        <f t="shared" si="27"/>
        <v>0</v>
      </c>
      <c r="P162" s="186"/>
    </row>
    <row r="163" spans="1:16" s="79" customFormat="1" ht="15" customHeight="1" x14ac:dyDescent="0.15">
      <c r="A163" s="330">
        <v>99350187270</v>
      </c>
      <c r="B163" s="303" t="s">
        <v>376</v>
      </c>
      <c r="C163" s="309" t="s">
        <v>475</v>
      </c>
      <c r="D163" s="329" t="s">
        <v>378</v>
      </c>
      <c r="E163" s="52">
        <v>187.44</v>
      </c>
      <c r="F163" s="80"/>
      <c r="G163" s="477"/>
      <c r="H163" s="255">
        <f t="shared" si="25"/>
        <v>0</v>
      </c>
      <c r="I163" s="50">
        <f t="shared" si="28"/>
        <v>0</v>
      </c>
      <c r="J163" s="63">
        <f t="shared" si="24"/>
        <v>0</v>
      </c>
      <c r="K163" s="64">
        <f t="shared" si="26"/>
        <v>0</v>
      </c>
      <c r="L163" s="51">
        <f t="shared" si="29"/>
        <v>0</v>
      </c>
      <c r="M163" s="64">
        <f t="shared" si="27"/>
        <v>0</v>
      </c>
      <c r="P163" s="186"/>
    </row>
    <row r="164" spans="1:16" s="79" customFormat="1" ht="15" customHeight="1" x14ac:dyDescent="0.15">
      <c r="A164" s="302">
        <v>99350177009</v>
      </c>
      <c r="B164" s="303" t="s">
        <v>376</v>
      </c>
      <c r="C164" s="309" t="s">
        <v>475</v>
      </c>
      <c r="D164" s="331" t="s">
        <v>484</v>
      </c>
      <c r="E164" s="52">
        <v>187.44</v>
      </c>
      <c r="F164" s="80"/>
      <c r="G164" s="477"/>
      <c r="H164" s="255">
        <f t="shared" si="25"/>
        <v>0</v>
      </c>
      <c r="I164" s="50">
        <f t="shared" si="28"/>
        <v>0</v>
      </c>
      <c r="J164" s="63">
        <f t="shared" si="24"/>
        <v>0</v>
      </c>
      <c r="K164" s="64">
        <f t="shared" si="26"/>
        <v>0</v>
      </c>
      <c r="L164" s="51">
        <f t="shared" si="29"/>
        <v>0</v>
      </c>
      <c r="M164" s="64">
        <f t="shared" si="27"/>
        <v>0</v>
      </c>
      <c r="P164" s="186"/>
    </row>
    <row r="165" spans="1:16" s="79" customFormat="1" ht="15" customHeight="1" x14ac:dyDescent="0.15">
      <c r="A165" s="330">
        <v>99350187295</v>
      </c>
      <c r="B165" s="303" t="s">
        <v>376</v>
      </c>
      <c r="C165" s="309" t="s">
        <v>475</v>
      </c>
      <c r="D165" s="329" t="s">
        <v>394</v>
      </c>
      <c r="E165" s="52">
        <v>187.44</v>
      </c>
      <c r="F165" s="80"/>
      <c r="G165" s="477"/>
      <c r="H165" s="255">
        <f t="shared" si="25"/>
        <v>0</v>
      </c>
      <c r="I165" s="50">
        <f t="shared" si="28"/>
        <v>0</v>
      </c>
      <c r="J165" s="63">
        <f t="shared" si="24"/>
        <v>0</v>
      </c>
      <c r="K165" s="64">
        <f t="shared" si="26"/>
        <v>0</v>
      </c>
      <c r="L165" s="51">
        <f t="shared" si="29"/>
        <v>0</v>
      </c>
      <c r="M165" s="64">
        <f t="shared" si="27"/>
        <v>0</v>
      </c>
      <c r="P165" s="186"/>
    </row>
    <row r="166" spans="1:16" s="79" customFormat="1" ht="15" customHeight="1" x14ac:dyDescent="0.15">
      <c r="A166" s="330">
        <v>99350187307</v>
      </c>
      <c r="B166" s="303" t="s">
        <v>376</v>
      </c>
      <c r="C166" s="309" t="s">
        <v>475</v>
      </c>
      <c r="D166" s="329" t="s">
        <v>405</v>
      </c>
      <c r="E166" s="52">
        <v>187.44</v>
      </c>
      <c r="F166" s="80"/>
      <c r="G166" s="477"/>
      <c r="H166" s="255">
        <f t="shared" si="25"/>
        <v>0</v>
      </c>
      <c r="I166" s="50">
        <f t="shared" si="28"/>
        <v>0</v>
      </c>
      <c r="J166" s="63">
        <f t="shared" si="24"/>
        <v>0</v>
      </c>
      <c r="K166" s="64">
        <f t="shared" si="26"/>
        <v>0</v>
      </c>
      <c r="L166" s="51">
        <f t="shared" si="29"/>
        <v>0</v>
      </c>
      <c r="M166" s="64">
        <f t="shared" si="27"/>
        <v>0</v>
      </c>
      <c r="P166" s="186"/>
    </row>
    <row r="167" spans="1:16" s="79" customFormat="1" ht="15" customHeight="1" x14ac:dyDescent="0.15">
      <c r="A167" s="302">
        <v>99350176979</v>
      </c>
      <c r="B167" s="303" t="s">
        <v>376</v>
      </c>
      <c r="C167" s="309" t="s">
        <v>475</v>
      </c>
      <c r="D167" s="331" t="s">
        <v>486</v>
      </c>
      <c r="E167" s="52">
        <v>187.44</v>
      </c>
      <c r="F167" s="80"/>
      <c r="G167" s="477"/>
      <c r="H167" s="255">
        <f t="shared" si="25"/>
        <v>0</v>
      </c>
      <c r="I167" s="50">
        <f t="shared" si="28"/>
        <v>0</v>
      </c>
      <c r="J167" s="63">
        <f t="shared" si="24"/>
        <v>0</v>
      </c>
      <c r="K167" s="64">
        <f t="shared" si="26"/>
        <v>0</v>
      </c>
      <c r="L167" s="51">
        <f t="shared" si="29"/>
        <v>0</v>
      </c>
      <c r="M167" s="64">
        <f t="shared" si="27"/>
        <v>0</v>
      </c>
      <c r="P167" s="186"/>
    </row>
    <row r="168" spans="1:16" s="79" customFormat="1" ht="15" customHeight="1" x14ac:dyDescent="0.15">
      <c r="A168" s="330">
        <v>99350187290</v>
      </c>
      <c r="B168" s="303" t="s">
        <v>376</v>
      </c>
      <c r="C168" s="309" t="s">
        <v>475</v>
      </c>
      <c r="D168" s="329" t="s">
        <v>418</v>
      </c>
      <c r="E168" s="52">
        <v>187.44</v>
      </c>
      <c r="F168" s="80"/>
      <c r="G168" s="477"/>
      <c r="H168" s="255">
        <f t="shared" ref="H168:H198" si="30">(F168+G168)</f>
        <v>0</v>
      </c>
      <c r="I168" s="50">
        <f t="shared" si="28"/>
        <v>0</v>
      </c>
      <c r="J168" s="63">
        <f t="shared" ref="J168:J198" si="31">I168*$M$15</f>
        <v>0</v>
      </c>
      <c r="K168" s="64">
        <f t="shared" ref="K168:K198" si="32">I168-J168</f>
        <v>0</v>
      </c>
      <c r="L168" s="51">
        <f t="shared" ref="L168:L198" si="33">K168*$P$5</f>
        <v>0</v>
      </c>
      <c r="M168" s="64">
        <f t="shared" ref="M168:M198" si="34">K168+L168</f>
        <v>0</v>
      </c>
      <c r="P168" s="186"/>
    </row>
    <row r="169" spans="1:16" s="79" customFormat="1" ht="15" customHeight="1" x14ac:dyDescent="0.15">
      <c r="A169" s="330">
        <v>99350187315</v>
      </c>
      <c r="B169" s="303" t="s">
        <v>376</v>
      </c>
      <c r="C169" s="309" t="s">
        <v>475</v>
      </c>
      <c r="D169" s="329" t="s">
        <v>422</v>
      </c>
      <c r="E169" s="52">
        <v>187.44</v>
      </c>
      <c r="F169" s="80"/>
      <c r="G169" s="477"/>
      <c r="H169" s="255">
        <f t="shared" si="30"/>
        <v>0</v>
      </c>
      <c r="I169" s="50">
        <f t="shared" si="28"/>
        <v>0</v>
      </c>
      <c r="J169" s="63">
        <f t="shared" si="31"/>
        <v>0</v>
      </c>
      <c r="K169" s="64">
        <f t="shared" si="32"/>
        <v>0</v>
      </c>
      <c r="L169" s="51">
        <f t="shared" si="33"/>
        <v>0</v>
      </c>
      <c r="M169" s="64">
        <f t="shared" si="34"/>
        <v>0</v>
      </c>
      <c r="P169" s="186"/>
    </row>
    <row r="170" spans="1:16" s="79" customFormat="1" ht="15" customHeight="1" x14ac:dyDescent="0.15">
      <c r="A170" s="302">
        <v>99350176973</v>
      </c>
      <c r="B170" s="303" t="s">
        <v>376</v>
      </c>
      <c r="C170" s="309" t="s">
        <v>475</v>
      </c>
      <c r="D170" s="331" t="s">
        <v>496</v>
      </c>
      <c r="E170" s="52">
        <v>187.44</v>
      </c>
      <c r="F170" s="80"/>
      <c r="G170" s="477"/>
      <c r="H170" s="255">
        <f t="shared" si="30"/>
        <v>0</v>
      </c>
      <c r="I170" s="50">
        <f t="shared" si="28"/>
        <v>0</v>
      </c>
      <c r="J170" s="63">
        <f t="shared" si="31"/>
        <v>0</v>
      </c>
      <c r="K170" s="64">
        <f t="shared" si="32"/>
        <v>0</v>
      </c>
      <c r="L170" s="51">
        <f t="shared" si="33"/>
        <v>0</v>
      </c>
      <c r="M170" s="64">
        <f t="shared" si="34"/>
        <v>0</v>
      </c>
      <c r="P170" s="186"/>
    </row>
    <row r="171" spans="1:16" s="79" customFormat="1" ht="15" customHeight="1" x14ac:dyDescent="0.15">
      <c r="A171" s="330">
        <v>99350187280</v>
      </c>
      <c r="B171" s="303" t="s">
        <v>376</v>
      </c>
      <c r="C171" s="309" t="s">
        <v>475</v>
      </c>
      <c r="D171" s="329" t="s">
        <v>412</v>
      </c>
      <c r="E171" s="52">
        <v>187.44</v>
      </c>
      <c r="F171" s="80"/>
      <c r="G171" s="477"/>
      <c r="H171" s="255">
        <f t="shared" si="30"/>
        <v>0</v>
      </c>
      <c r="I171" s="50">
        <f t="shared" si="28"/>
        <v>0</v>
      </c>
      <c r="J171" s="63">
        <f t="shared" si="31"/>
        <v>0</v>
      </c>
      <c r="K171" s="64">
        <f t="shared" si="32"/>
        <v>0</v>
      </c>
      <c r="L171" s="51">
        <f t="shared" si="33"/>
        <v>0</v>
      </c>
      <c r="M171" s="64">
        <f t="shared" si="34"/>
        <v>0</v>
      </c>
      <c r="P171" s="186"/>
    </row>
    <row r="172" spans="1:16" s="79" customFormat="1" ht="15" customHeight="1" x14ac:dyDescent="0.15">
      <c r="A172" s="330">
        <v>99350187282</v>
      </c>
      <c r="B172" s="303" t="s">
        <v>376</v>
      </c>
      <c r="C172" s="309" t="s">
        <v>475</v>
      </c>
      <c r="D172" s="329" t="s">
        <v>400</v>
      </c>
      <c r="E172" s="52">
        <v>187.44</v>
      </c>
      <c r="F172" s="80"/>
      <c r="G172" s="477"/>
      <c r="H172" s="255">
        <f t="shared" si="30"/>
        <v>0</v>
      </c>
      <c r="I172" s="50">
        <f t="shared" si="28"/>
        <v>0</v>
      </c>
      <c r="J172" s="63">
        <f t="shared" si="31"/>
        <v>0</v>
      </c>
      <c r="K172" s="64">
        <f t="shared" si="32"/>
        <v>0</v>
      </c>
      <c r="L172" s="51">
        <f t="shared" si="33"/>
        <v>0</v>
      </c>
      <c r="M172" s="64">
        <f t="shared" si="34"/>
        <v>0</v>
      </c>
      <c r="P172" s="186"/>
    </row>
    <row r="173" spans="1:16" s="79" customFormat="1" ht="15" customHeight="1" x14ac:dyDescent="0.15">
      <c r="A173" s="330">
        <v>99350187275</v>
      </c>
      <c r="B173" s="303" t="s">
        <v>376</v>
      </c>
      <c r="C173" s="309" t="s">
        <v>475</v>
      </c>
      <c r="D173" s="329" t="s">
        <v>388</v>
      </c>
      <c r="E173" s="52">
        <v>187.44</v>
      </c>
      <c r="F173" s="80"/>
      <c r="G173" s="477"/>
      <c r="H173" s="255">
        <f t="shared" si="30"/>
        <v>0</v>
      </c>
      <c r="I173" s="50">
        <f t="shared" si="28"/>
        <v>0</v>
      </c>
      <c r="J173" s="63">
        <f t="shared" si="31"/>
        <v>0</v>
      </c>
      <c r="K173" s="64">
        <f t="shared" si="32"/>
        <v>0</v>
      </c>
      <c r="L173" s="51">
        <f t="shared" si="33"/>
        <v>0</v>
      </c>
      <c r="M173" s="64">
        <f t="shared" si="34"/>
        <v>0</v>
      </c>
      <c r="P173" s="186"/>
    </row>
    <row r="174" spans="1:16" s="79" customFormat="1" ht="15" customHeight="1" x14ac:dyDescent="0.15">
      <c r="A174" s="302">
        <v>99350177003</v>
      </c>
      <c r="B174" s="303" t="s">
        <v>376</v>
      </c>
      <c r="C174" s="309" t="s">
        <v>475</v>
      </c>
      <c r="D174" s="331" t="s">
        <v>500</v>
      </c>
      <c r="E174" s="52">
        <v>187.44</v>
      </c>
      <c r="F174" s="80"/>
      <c r="G174" s="477"/>
      <c r="H174" s="255">
        <f t="shared" si="30"/>
        <v>0</v>
      </c>
      <c r="I174" s="50">
        <f t="shared" si="28"/>
        <v>0</v>
      </c>
      <c r="J174" s="63">
        <f t="shared" si="31"/>
        <v>0</v>
      </c>
      <c r="K174" s="64">
        <f t="shared" si="32"/>
        <v>0</v>
      </c>
      <c r="L174" s="51">
        <f t="shared" si="33"/>
        <v>0</v>
      </c>
      <c r="M174" s="64">
        <f t="shared" si="34"/>
        <v>0</v>
      </c>
      <c r="P174" s="186"/>
    </row>
    <row r="175" spans="1:16" s="79" customFormat="1" ht="15" customHeight="1" x14ac:dyDescent="0.15">
      <c r="A175" s="330">
        <v>99350187259</v>
      </c>
      <c r="B175" s="303" t="s">
        <v>376</v>
      </c>
      <c r="C175" s="309" t="s">
        <v>475</v>
      </c>
      <c r="D175" s="329" t="s">
        <v>381</v>
      </c>
      <c r="E175" s="52">
        <v>187.44</v>
      </c>
      <c r="F175" s="80"/>
      <c r="G175" s="477"/>
      <c r="H175" s="255">
        <f t="shared" si="30"/>
        <v>0</v>
      </c>
      <c r="I175" s="50">
        <f t="shared" si="28"/>
        <v>0</v>
      </c>
      <c r="J175" s="63">
        <f t="shared" si="31"/>
        <v>0</v>
      </c>
      <c r="K175" s="64">
        <f t="shared" si="32"/>
        <v>0</v>
      </c>
      <c r="L175" s="51">
        <f t="shared" si="33"/>
        <v>0</v>
      </c>
      <c r="M175" s="64">
        <f t="shared" si="34"/>
        <v>0</v>
      </c>
      <c r="P175" s="186"/>
    </row>
    <row r="176" spans="1:16" s="79" customFormat="1" ht="15" customHeight="1" x14ac:dyDescent="0.15">
      <c r="A176" s="330">
        <v>99350187314</v>
      </c>
      <c r="B176" s="303" t="s">
        <v>376</v>
      </c>
      <c r="C176" s="309" t="s">
        <v>475</v>
      </c>
      <c r="D176" s="329" t="s">
        <v>392</v>
      </c>
      <c r="E176" s="52">
        <v>187.44</v>
      </c>
      <c r="F176" s="80"/>
      <c r="G176" s="477"/>
      <c r="H176" s="255">
        <f t="shared" si="30"/>
        <v>0</v>
      </c>
      <c r="I176" s="50">
        <f t="shared" si="28"/>
        <v>0</v>
      </c>
      <c r="J176" s="63">
        <f t="shared" si="31"/>
        <v>0</v>
      </c>
      <c r="K176" s="64">
        <f t="shared" si="32"/>
        <v>0</v>
      </c>
      <c r="L176" s="51">
        <f t="shared" si="33"/>
        <v>0</v>
      </c>
      <c r="M176" s="64">
        <f t="shared" si="34"/>
        <v>0</v>
      </c>
      <c r="P176" s="186"/>
    </row>
    <row r="177" spans="1:16" s="79" customFormat="1" ht="15" customHeight="1" x14ac:dyDescent="0.15">
      <c r="A177" s="330">
        <v>99350187284</v>
      </c>
      <c r="B177" s="303" t="s">
        <v>376</v>
      </c>
      <c r="C177" s="309" t="s">
        <v>475</v>
      </c>
      <c r="D177" s="329" t="s">
        <v>397</v>
      </c>
      <c r="E177" s="52">
        <v>187.44</v>
      </c>
      <c r="F177" s="80"/>
      <c r="G177" s="477"/>
      <c r="H177" s="255">
        <f t="shared" si="30"/>
        <v>0</v>
      </c>
      <c r="I177" s="50">
        <f t="shared" si="28"/>
        <v>0</v>
      </c>
      <c r="J177" s="63">
        <f t="shared" si="31"/>
        <v>0</v>
      </c>
      <c r="K177" s="64">
        <f t="shared" si="32"/>
        <v>0</v>
      </c>
      <c r="L177" s="51">
        <f t="shared" si="33"/>
        <v>0</v>
      </c>
      <c r="M177" s="64">
        <f t="shared" si="34"/>
        <v>0</v>
      </c>
      <c r="P177" s="186"/>
    </row>
    <row r="178" spans="1:16" s="79" customFormat="1" ht="15" customHeight="1" x14ac:dyDescent="0.15">
      <c r="A178" s="330">
        <v>99350187297</v>
      </c>
      <c r="B178" s="303" t="s">
        <v>376</v>
      </c>
      <c r="C178" s="309" t="s">
        <v>475</v>
      </c>
      <c r="D178" s="329" t="s">
        <v>399</v>
      </c>
      <c r="E178" s="52">
        <v>187.44</v>
      </c>
      <c r="F178" s="80"/>
      <c r="G178" s="477"/>
      <c r="H178" s="255">
        <f t="shared" si="30"/>
        <v>0</v>
      </c>
      <c r="I178" s="50">
        <f t="shared" si="28"/>
        <v>0</v>
      </c>
      <c r="J178" s="63">
        <f t="shared" si="31"/>
        <v>0</v>
      </c>
      <c r="K178" s="64">
        <f t="shared" si="32"/>
        <v>0</v>
      </c>
      <c r="L178" s="51">
        <f t="shared" si="33"/>
        <v>0</v>
      </c>
      <c r="M178" s="64">
        <f t="shared" si="34"/>
        <v>0</v>
      </c>
      <c r="P178" s="186"/>
    </row>
    <row r="179" spans="1:16" s="79" customFormat="1" ht="15" customHeight="1" x14ac:dyDescent="0.15">
      <c r="A179" s="330">
        <v>99350187260</v>
      </c>
      <c r="B179" s="303" t="s">
        <v>376</v>
      </c>
      <c r="C179" s="309" t="s">
        <v>475</v>
      </c>
      <c r="D179" s="329" t="s">
        <v>407</v>
      </c>
      <c r="E179" s="52">
        <v>187.44</v>
      </c>
      <c r="F179" s="80"/>
      <c r="G179" s="477"/>
      <c r="H179" s="255">
        <f t="shared" si="30"/>
        <v>0</v>
      </c>
      <c r="I179" s="50">
        <f t="shared" si="28"/>
        <v>0</v>
      </c>
      <c r="J179" s="63">
        <f t="shared" si="31"/>
        <v>0</v>
      </c>
      <c r="K179" s="64">
        <f t="shared" si="32"/>
        <v>0</v>
      </c>
      <c r="L179" s="51">
        <f t="shared" si="33"/>
        <v>0</v>
      </c>
      <c r="M179" s="64">
        <f t="shared" si="34"/>
        <v>0</v>
      </c>
      <c r="P179" s="186"/>
    </row>
    <row r="180" spans="1:16" s="79" customFormat="1" ht="15" customHeight="1" x14ac:dyDescent="0.15">
      <c r="A180" s="330">
        <v>99350187289</v>
      </c>
      <c r="B180" s="303" t="s">
        <v>376</v>
      </c>
      <c r="C180" s="309" t="s">
        <v>475</v>
      </c>
      <c r="D180" s="329" t="s">
        <v>382</v>
      </c>
      <c r="E180" s="52">
        <v>187.44</v>
      </c>
      <c r="F180" s="80"/>
      <c r="G180" s="477"/>
      <c r="H180" s="255">
        <f t="shared" si="30"/>
        <v>0</v>
      </c>
      <c r="I180" s="50">
        <f t="shared" si="28"/>
        <v>0</v>
      </c>
      <c r="J180" s="63">
        <f t="shared" si="31"/>
        <v>0</v>
      </c>
      <c r="K180" s="64">
        <f t="shared" si="32"/>
        <v>0</v>
      </c>
      <c r="L180" s="51">
        <f t="shared" si="33"/>
        <v>0</v>
      </c>
      <c r="M180" s="64">
        <f t="shared" si="34"/>
        <v>0</v>
      </c>
      <c r="P180" s="186"/>
    </row>
    <row r="181" spans="1:16" s="79" customFormat="1" ht="15" customHeight="1" x14ac:dyDescent="0.15">
      <c r="A181" s="330">
        <v>99350187274</v>
      </c>
      <c r="B181" s="303" t="s">
        <v>376</v>
      </c>
      <c r="C181" s="309" t="s">
        <v>475</v>
      </c>
      <c r="D181" s="329" t="s">
        <v>398</v>
      </c>
      <c r="E181" s="52">
        <v>187.44</v>
      </c>
      <c r="F181" s="80"/>
      <c r="G181" s="477"/>
      <c r="H181" s="255">
        <f t="shared" si="30"/>
        <v>0</v>
      </c>
      <c r="I181" s="50">
        <f t="shared" si="28"/>
        <v>0</v>
      </c>
      <c r="J181" s="63">
        <f t="shared" si="31"/>
        <v>0</v>
      </c>
      <c r="K181" s="64">
        <f t="shared" si="32"/>
        <v>0</v>
      </c>
      <c r="L181" s="51">
        <f t="shared" si="33"/>
        <v>0</v>
      </c>
      <c r="M181" s="64">
        <f t="shared" si="34"/>
        <v>0</v>
      </c>
      <c r="P181" s="186"/>
    </row>
    <row r="182" spans="1:16" s="79" customFormat="1" ht="15" customHeight="1" x14ac:dyDescent="0.15">
      <c r="A182" s="302">
        <v>99350176840</v>
      </c>
      <c r="B182" s="303" t="s">
        <v>376</v>
      </c>
      <c r="C182" s="309" t="s">
        <v>475</v>
      </c>
      <c r="D182" s="331" t="s">
        <v>487</v>
      </c>
      <c r="E182" s="52">
        <v>187.44</v>
      </c>
      <c r="F182" s="80"/>
      <c r="G182" s="477"/>
      <c r="H182" s="255">
        <f t="shared" si="30"/>
        <v>0</v>
      </c>
      <c r="I182" s="50">
        <f t="shared" si="28"/>
        <v>0</v>
      </c>
      <c r="J182" s="63">
        <f t="shared" si="31"/>
        <v>0</v>
      </c>
      <c r="K182" s="64">
        <f t="shared" si="32"/>
        <v>0</v>
      </c>
      <c r="L182" s="51">
        <f t="shared" si="33"/>
        <v>0</v>
      </c>
      <c r="M182" s="64">
        <f t="shared" si="34"/>
        <v>0</v>
      </c>
      <c r="P182" s="186"/>
    </row>
    <row r="183" spans="1:16" s="79" customFormat="1" ht="15" customHeight="1" x14ac:dyDescent="0.15">
      <c r="A183" s="302">
        <v>99350176843</v>
      </c>
      <c r="B183" s="303" t="s">
        <v>376</v>
      </c>
      <c r="C183" s="309" t="s">
        <v>475</v>
      </c>
      <c r="D183" s="331" t="s">
        <v>493</v>
      </c>
      <c r="E183" s="52">
        <v>187.44</v>
      </c>
      <c r="F183" s="80"/>
      <c r="G183" s="477"/>
      <c r="H183" s="255">
        <f t="shared" si="30"/>
        <v>0</v>
      </c>
      <c r="I183" s="50">
        <f t="shared" si="28"/>
        <v>0</v>
      </c>
      <c r="J183" s="63">
        <f t="shared" si="31"/>
        <v>0</v>
      </c>
      <c r="K183" s="64">
        <f t="shared" si="32"/>
        <v>0</v>
      </c>
      <c r="L183" s="51">
        <f t="shared" si="33"/>
        <v>0</v>
      </c>
      <c r="M183" s="64">
        <f t="shared" si="34"/>
        <v>0</v>
      </c>
      <c r="P183" s="186"/>
    </row>
    <row r="184" spans="1:16" s="79" customFormat="1" ht="15" customHeight="1" x14ac:dyDescent="0.15">
      <c r="A184" s="302">
        <v>99350176846</v>
      </c>
      <c r="B184" s="303" t="s">
        <v>376</v>
      </c>
      <c r="C184" s="309" t="s">
        <v>475</v>
      </c>
      <c r="D184" s="331" t="s">
        <v>492</v>
      </c>
      <c r="E184" s="52">
        <v>187.44</v>
      </c>
      <c r="F184" s="80"/>
      <c r="G184" s="477"/>
      <c r="H184" s="255">
        <f t="shared" si="30"/>
        <v>0</v>
      </c>
      <c r="I184" s="50">
        <f t="shared" si="28"/>
        <v>0</v>
      </c>
      <c r="J184" s="63">
        <f t="shared" si="31"/>
        <v>0</v>
      </c>
      <c r="K184" s="64">
        <f t="shared" si="32"/>
        <v>0</v>
      </c>
      <c r="L184" s="51">
        <f t="shared" si="33"/>
        <v>0</v>
      </c>
      <c r="M184" s="64">
        <f t="shared" si="34"/>
        <v>0</v>
      </c>
      <c r="P184" s="186"/>
    </row>
    <row r="185" spans="1:16" s="79" customFormat="1" ht="15" customHeight="1" x14ac:dyDescent="0.15">
      <c r="A185" s="330">
        <v>99350187266</v>
      </c>
      <c r="B185" s="303" t="s">
        <v>376</v>
      </c>
      <c r="C185" s="309" t="s">
        <v>475</v>
      </c>
      <c r="D185" s="329" t="s">
        <v>425</v>
      </c>
      <c r="E185" s="52">
        <v>187.44</v>
      </c>
      <c r="F185" s="80"/>
      <c r="G185" s="477"/>
      <c r="H185" s="255">
        <f t="shared" si="30"/>
        <v>0</v>
      </c>
      <c r="I185" s="50">
        <f t="shared" si="28"/>
        <v>0</v>
      </c>
      <c r="J185" s="63">
        <f t="shared" si="31"/>
        <v>0</v>
      </c>
      <c r="K185" s="64">
        <f t="shared" si="32"/>
        <v>0</v>
      </c>
      <c r="L185" s="51">
        <f t="shared" si="33"/>
        <v>0</v>
      </c>
      <c r="M185" s="64">
        <f t="shared" si="34"/>
        <v>0</v>
      </c>
      <c r="P185" s="186"/>
    </row>
    <row r="186" spans="1:16" s="79" customFormat="1" ht="15" customHeight="1" x14ac:dyDescent="0.15">
      <c r="A186" s="330">
        <v>99350187278</v>
      </c>
      <c r="B186" s="303" t="s">
        <v>376</v>
      </c>
      <c r="C186" s="309" t="s">
        <v>475</v>
      </c>
      <c r="D186" s="329" t="s">
        <v>424</v>
      </c>
      <c r="E186" s="52">
        <v>187.44</v>
      </c>
      <c r="F186" s="80"/>
      <c r="G186" s="477"/>
      <c r="H186" s="255">
        <f t="shared" si="30"/>
        <v>0</v>
      </c>
      <c r="I186" s="50">
        <f t="shared" si="28"/>
        <v>0</v>
      </c>
      <c r="J186" s="63">
        <f t="shared" si="31"/>
        <v>0</v>
      </c>
      <c r="K186" s="64">
        <f t="shared" si="32"/>
        <v>0</v>
      </c>
      <c r="L186" s="51">
        <f t="shared" si="33"/>
        <v>0</v>
      </c>
      <c r="M186" s="64">
        <f t="shared" si="34"/>
        <v>0</v>
      </c>
      <c r="P186" s="186"/>
    </row>
    <row r="187" spans="1:16" s="79" customFormat="1" ht="15" customHeight="1" x14ac:dyDescent="0.15">
      <c r="A187" s="330">
        <v>99350187281</v>
      </c>
      <c r="B187" s="303" t="s">
        <v>376</v>
      </c>
      <c r="C187" s="309" t="s">
        <v>475</v>
      </c>
      <c r="D187" s="329" t="s">
        <v>428</v>
      </c>
      <c r="E187" s="52">
        <v>187.44</v>
      </c>
      <c r="F187" s="80"/>
      <c r="G187" s="477"/>
      <c r="H187" s="255">
        <f t="shared" si="30"/>
        <v>0</v>
      </c>
      <c r="I187" s="50">
        <f t="shared" si="28"/>
        <v>0</v>
      </c>
      <c r="J187" s="63">
        <f t="shared" si="31"/>
        <v>0</v>
      </c>
      <c r="K187" s="64">
        <f t="shared" si="32"/>
        <v>0</v>
      </c>
      <c r="L187" s="51">
        <f t="shared" si="33"/>
        <v>0</v>
      </c>
      <c r="M187" s="64">
        <f t="shared" si="34"/>
        <v>0</v>
      </c>
      <c r="P187" s="186"/>
    </row>
    <row r="188" spans="1:16" s="79" customFormat="1" ht="15" customHeight="1" x14ac:dyDescent="0.15">
      <c r="A188" s="330">
        <v>99350187296</v>
      </c>
      <c r="B188" s="303" t="s">
        <v>376</v>
      </c>
      <c r="C188" s="309" t="s">
        <v>475</v>
      </c>
      <c r="D188" s="329" t="s">
        <v>427</v>
      </c>
      <c r="E188" s="52">
        <v>187.44</v>
      </c>
      <c r="F188" s="80"/>
      <c r="G188" s="477"/>
      <c r="H188" s="255">
        <f t="shared" si="30"/>
        <v>0</v>
      </c>
      <c r="I188" s="50">
        <f t="shared" si="28"/>
        <v>0</v>
      </c>
      <c r="J188" s="63">
        <f t="shared" si="31"/>
        <v>0</v>
      </c>
      <c r="K188" s="64">
        <f t="shared" si="32"/>
        <v>0</v>
      </c>
      <c r="L188" s="51">
        <f t="shared" si="33"/>
        <v>0</v>
      </c>
      <c r="M188" s="64">
        <f t="shared" si="34"/>
        <v>0</v>
      </c>
      <c r="P188" s="186"/>
    </row>
    <row r="189" spans="1:16" s="79" customFormat="1" ht="15" customHeight="1" x14ac:dyDescent="0.15">
      <c r="A189" s="330">
        <v>99350187271</v>
      </c>
      <c r="B189" s="303" t="s">
        <v>376</v>
      </c>
      <c r="C189" s="309" t="s">
        <v>475</v>
      </c>
      <c r="D189" s="329" t="s">
        <v>426</v>
      </c>
      <c r="E189" s="52">
        <v>187.44</v>
      </c>
      <c r="F189" s="80"/>
      <c r="G189" s="477"/>
      <c r="H189" s="255">
        <f t="shared" si="30"/>
        <v>0</v>
      </c>
      <c r="I189" s="50">
        <f t="shared" si="28"/>
        <v>0</v>
      </c>
      <c r="J189" s="63">
        <f t="shared" si="31"/>
        <v>0</v>
      </c>
      <c r="K189" s="64">
        <f t="shared" si="32"/>
        <v>0</v>
      </c>
      <c r="L189" s="51">
        <f t="shared" si="33"/>
        <v>0</v>
      </c>
      <c r="M189" s="64">
        <f t="shared" si="34"/>
        <v>0</v>
      </c>
      <c r="P189" s="186"/>
    </row>
    <row r="190" spans="1:16" s="79" customFormat="1" ht="15" customHeight="1" x14ac:dyDescent="0.15">
      <c r="A190" s="302">
        <v>99350176832</v>
      </c>
      <c r="B190" s="303" t="s">
        <v>376</v>
      </c>
      <c r="C190" s="309" t="s">
        <v>475</v>
      </c>
      <c r="D190" s="331" t="s">
        <v>509</v>
      </c>
      <c r="E190" s="52">
        <v>187.44</v>
      </c>
      <c r="F190" s="80"/>
      <c r="G190" s="477"/>
      <c r="H190" s="255">
        <f t="shared" si="30"/>
        <v>0</v>
      </c>
      <c r="I190" s="50">
        <f t="shared" si="28"/>
        <v>0</v>
      </c>
      <c r="J190" s="63">
        <f t="shared" si="31"/>
        <v>0</v>
      </c>
      <c r="K190" s="64">
        <f t="shared" si="32"/>
        <v>0</v>
      </c>
      <c r="L190" s="51">
        <f t="shared" si="33"/>
        <v>0</v>
      </c>
      <c r="M190" s="64">
        <f t="shared" si="34"/>
        <v>0</v>
      </c>
      <c r="P190" s="186"/>
    </row>
    <row r="191" spans="1:16" s="79" customFormat="1" ht="15" customHeight="1" x14ac:dyDescent="0.15">
      <c r="A191" s="330">
        <v>99350187317</v>
      </c>
      <c r="B191" s="303" t="s">
        <v>376</v>
      </c>
      <c r="C191" s="309" t="s">
        <v>475</v>
      </c>
      <c r="D191" s="329" t="s">
        <v>431</v>
      </c>
      <c r="E191" s="52">
        <v>187.44</v>
      </c>
      <c r="F191" s="80"/>
      <c r="G191" s="477"/>
      <c r="H191" s="255">
        <f t="shared" si="30"/>
        <v>0</v>
      </c>
      <c r="I191" s="50">
        <f t="shared" si="28"/>
        <v>0</v>
      </c>
      <c r="J191" s="63">
        <f t="shared" si="31"/>
        <v>0</v>
      </c>
      <c r="K191" s="64">
        <f t="shared" si="32"/>
        <v>0</v>
      </c>
      <c r="L191" s="51">
        <f t="shared" si="33"/>
        <v>0</v>
      </c>
      <c r="M191" s="64">
        <f t="shared" si="34"/>
        <v>0</v>
      </c>
      <c r="P191" s="186"/>
    </row>
    <row r="192" spans="1:16" s="79" customFormat="1" ht="15" customHeight="1" x14ac:dyDescent="0.15">
      <c r="A192" s="330">
        <v>99350187316</v>
      </c>
      <c r="B192" s="303" t="s">
        <v>376</v>
      </c>
      <c r="C192" s="309" t="s">
        <v>475</v>
      </c>
      <c r="D192" s="329" t="s">
        <v>432</v>
      </c>
      <c r="E192" s="52">
        <v>187.44</v>
      </c>
      <c r="F192" s="80"/>
      <c r="G192" s="477"/>
      <c r="H192" s="255">
        <f t="shared" si="30"/>
        <v>0</v>
      </c>
      <c r="I192" s="50">
        <f t="shared" si="28"/>
        <v>0</v>
      </c>
      <c r="J192" s="63">
        <f t="shared" si="31"/>
        <v>0</v>
      </c>
      <c r="K192" s="64">
        <f t="shared" si="32"/>
        <v>0</v>
      </c>
      <c r="L192" s="51">
        <f t="shared" si="33"/>
        <v>0</v>
      </c>
      <c r="M192" s="64">
        <f t="shared" si="34"/>
        <v>0</v>
      </c>
      <c r="P192" s="186"/>
    </row>
    <row r="193" spans="1:16" s="79" customFormat="1" ht="15" customHeight="1" x14ac:dyDescent="0.15">
      <c r="A193" s="302">
        <v>99350176850</v>
      </c>
      <c r="B193" s="303" t="s">
        <v>376</v>
      </c>
      <c r="C193" s="309" t="s">
        <v>475</v>
      </c>
      <c r="D193" s="331" t="s">
        <v>510</v>
      </c>
      <c r="E193" s="52">
        <v>187.44</v>
      </c>
      <c r="F193" s="80"/>
      <c r="G193" s="477"/>
      <c r="H193" s="255">
        <f t="shared" si="30"/>
        <v>0</v>
      </c>
      <c r="I193" s="50">
        <f t="shared" si="28"/>
        <v>0</v>
      </c>
      <c r="J193" s="63">
        <f t="shared" si="31"/>
        <v>0</v>
      </c>
      <c r="K193" s="64">
        <f t="shared" si="32"/>
        <v>0</v>
      </c>
      <c r="L193" s="51">
        <f t="shared" si="33"/>
        <v>0</v>
      </c>
      <c r="M193" s="64">
        <f t="shared" si="34"/>
        <v>0</v>
      </c>
      <c r="P193" s="186"/>
    </row>
    <row r="194" spans="1:16" s="79" customFormat="1" ht="15" customHeight="1" x14ac:dyDescent="0.15">
      <c r="A194" s="330">
        <v>99350187301</v>
      </c>
      <c r="B194" s="303" t="s">
        <v>376</v>
      </c>
      <c r="C194" s="309" t="s">
        <v>475</v>
      </c>
      <c r="D194" s="329" t="s">
        <v>430</v>
      </c>
      <c r="E194" s="52">
        <v>187.44</v>
      </c>
      <c r="F194" s="80"/>
      <c r="G194" s="477"/>
      <c r="H194" s="255">
        <f t="shared" si="30"/>
        <v>0</v>
      </c>
      <c r="I194" s="50">
        <f t="shared" si="28"/>
        <v>0</v>
      </c>
      <c r="J194" s="63">
        <f t="shared" si="31"/>
        <v>0</v>
      </c>
      <c r="K194" s="64">
        <f t="shared" si="32"/>
        <v>0</v>
      </c>
      <c r="L194" s="51">
        <f t="shared" si="33"/>
        <v>0</v>
      </c>
      <c r="M194" s="64">
        <f t="shared" si="34"/>
        <v>0</v>
      </c>
      <c r="P194" s="186"/>
    </row>
    <row r="195" spans="1:16" s="79" customFormat="1" ht="15" customHeight="1" x14ac:dyDescent="0.15">
      <c r="A195" s="302">
        <v>99350176824</v>
      </c>
      <c r="B195" s="303" t="s">
        <v>376</v>
      </c>
      <c r="C195" s="309" t="s">
        <v>475</v>
      </c>
      <c r="D195" s="331" t="s">
        <v>511</v>
      </c>
      <c r="E195" s="52">
        <v>187.44</v>
      </c>
      <c r="F195" s="80"/>
      <c r="G195" s="477"/>
      <c r="H195" s="255">
        <f t="shared" si="30"/>
        <v>0</v>
      </c>
      <c r="I195" s="50">
        <f t="shared" si="28"/>
        <v>0</v>
      </c>
      <c r="J195" s="63">
        <f t="shared" si="31"/>
        <v>0</v>
      </c>
      <c r="K195" s="64">
        <f t="shared" si="32"/>
        <v>0</v>
      </c>
      <c r="L195" s="51">
        <f t="shared" si="33"/>
        <v>0</v>
      </c>
      <c r="M195" s="64">
        <f t="shared" si="34"/>
        <v>0</v>
      </c>
      <c r="P195" s="186"/>
    </row>
    <row r="196" spans="1:16" s="79" customFormat="1" ht="15" customHeight="1" x14ac:dyDescent="0.15">
      <c r="A196" s="330">
        <v>99350187264</v>
      </c>
      <c r="B196" s="303" t="s">
        <v>376</v>
      </c>
      <c r="C196" s="309" t="s">
        <v>475</v>
      </c>
      <c r="D196" s="329" t="s">
        <v>429</v>
      </c>
      <c r="E196" s="52">
        <v>187.44</v>
      </c>
      <c r="F196" s="80"/>
      <c r="G196" s="477"/>
      <c r="H196" s="255">
        <f t="shared" si="30"/>
        <v>0</v>
      </c>
      <c r="I196" s="50">
        <f t="shared" si="28"/>
        <v>0</v>
      </c>
      <c r="J196" s="63">
        <f t="shared" si="31"/>
        <v>0</v>
      </c>
      <c r="K196" s="64">
        <f t="shared" si="32"/>
        <v>0</v>
      </c>
      <c r="L196" s="51">
        <f t="shared" si="33"/>
        <v>0</v>
      </c>
      <c r="M196" s="64">
        <f t="shared" si="34"/>
        <v>0</v>
      </c>
      <c r="P196" s="186"/>
    </row>
    <row r="197" spans="1:16" s="79" customFormat="1" ht="15" customHeight="1" x14ac:dyDescent="0.15">
      <c r="A197" s="302">
        <v>99350176838</v>
      </c>
      <c r="B197" s="303" t="s">
        <v>376</v>
      </c>
      <c r="C197" s="309" t="s">
        <v>475</v>
      </c>
      <c r="D197" s="331" t="s">
        <v>513</v>
      </c>
      <c r="E197" s="52">
        <v>187.44</v>
      </c>
      <c r="F197" s="80"/>
      <c r="G197" s="477"/>
      <c r="H197" s="255">
        <f t="shared" si="30"/>
        <v>0</v>
      </c>
      <c r="I197" s="50">
        <f t="shared" si="28"/>
        <v>0</v>
      </c>
      <c r="J197" s="63">
        <f t="shared" si="31"/>
        <v>0</v>
      </c>
      <c r="K197" s="64">
        <f t="shared" si="32"/>
        <v>0</v>
      </c>
      <c r="L197" s="51">
        <f t="shared" si="33"/>
        <v>0</v>
      </c>
      <c r="M197" s="64">
        <f t="shared" si="34"/>
        <v>0</v>
      </c>
      <c r="P197" s="186"/>
    </row>
    <row r="198" spans="1:16" s="79" customFormat="1" ht="15" customHeight="1" thickBot="1" x14ac:dyDescent="0.2">
      <c r="A198" s="302">
        <v>99350176857</v>
      </c>
      <c r="B198" s="303" t="s">
        <v>376</v>
      </c>
      <c r="C198" s="309" t="s">
        <v>475</v>
      </c>
      <c r="D198" s="331" t="s">
        <v>512</v>
      </c>
      <c r="E198" s="52">
        <v>187.44</v>
      </c>
      <c r="F198" s="80"/>
      <c r="G198" s="477"/>
      <c r="H198" s="255">
        <f t="shared" si="30"/>
        <v>0</v>
      </c>
      <c r="I198" s="50">
        <f t="shared" si="28"/>
        <v>0</v>
      </c>
      <c r="J198" s="63">
        <f t="shared" si="31"/>
        <v>0</v>
      </c>
      <c r="K198" s="64">
        <f t="shared" si="32"/>
        <v>0</v>
      </c>
      <c r="L198" s="51">
        <f t="shared" si="33"/>
        <v>0</v>
      </c>
      <c r="M198" s="64">
        <f t="shared" si="34"/>
        <v>0</v>
      </c>
      <c r="P198" s="186"/>
    </row>
    <row r="199" spans="1:16" ht="15.75" thickBot="1" x14ac:dyDescent="0.25">
      <c r="A199" s="66"/>
      <c r="B199" s="67"/>
      <c r="C199" s="309" t="e">
        <v>#N/A</v>
      </c>
      <c r="D199" s="43" t="s">
        <v>15</v>
      </c>
      <c r="E199" s="491"/>
      <c r="F199" s="68"/>
      <c r="G199" s="266"/>
      <c r="H199" s="418"/>
      <c r="I199" s="69"/>
      <c r="J199" s="69"/>
      <c r="K199" s="69"/>
      <c r="L199" s="69"/>
      <c r="M199" s="70"/>
      <c r="N199" s="41"/>
      <c r="O199" s="41"/>
      <c r="P199" s="41"/>
    </row>
    <row r="200" spans="1:16" x14ac:dyDescent="0.2">
      <c r="A200" s="309">
        <v>4015600056612</v>
      </c>
      <c r="B200" s="303" t="s">
        <v>15</v>
      </c>
      <c r="C200" s="309" t="s">
        <v>475</v>
      </c>
      <c r="D200" s="310" t="s">
        <v>133</v>
      </c>
      <c r="E200" s="489">
        <v>177.82</v>
      </c>
      <c r="F200" s="49"/>
      <c r="G200" s="267"/>
      <c r="H200" s="417">
        <f t="shared" ref="H200:H229" si="35">(F200+G200)</f>
        <v>0</v>
      </c>
      <c r="I200" s="50">
        <f t="shared" si="28"/>
        <v>0</v>
      </c>
      <c r="J200" s="51">
        <f t="shared" ref="J200:J247" si="36">I200*$M$15</f>
        <v>0</v>
      </c>
      <c r="K200" s="52">
        <f t="shared" ref="K200:K229" si="37">I200-J200</f>
        <v>0</v>
      </c>
      <c r="L200" s="51">
        <f t="shared" ref="L200:L266" si="38">K200*$P$5</f>
        <v>0</v>
      </c>
      <c r="M200" s="53">
        <f t="shared" ref="M200:M229" si="39">K200+L200</f>
        <v>0</v>
      </c>
      <c r="N200" s="41"/>
      <c r="O200" s="41"/>
      <c r="P200" s="41"/>
    </row>
    <row r="201" spans="1:16" x14ac:dyDescent="0.2">
      <c r="A201" s="332">
        <v>4015600056797</v>
      </c>
      <c r="B201" s="303" t="s">
        <v>15</v>
      </c>
      <c r="C201" s="309" t="s">
        <v>475</v>
      </c>
      <c r="D201" s="333" t="s">
        <v>134</v>
      </c>
      <c r="E201" s="489">
        <v>177.82</v>
      </c>
      <c r="F201" s="56"/>
      <c r="G201" s="264"/>
      <c r="H201" s="417">
        <f t="shared" si="35"/>
        <v>0</v>
      </c>
      <c r="I201" s="50">
        <f t="shared" si="28"/>
        <v>0</v>
      </c>
      <c r="J201" s="57">
        <f t="shared" si="36"/>
        <v>0</v>
      </c>
      <c r="K201" s="58">
        <f t="shared" si="37"/>
        <v>0</v>
      </c>
      <c r="L201" s="51">
        <f t="shared" si="38"/>
        <v>0</v>
      </c>
      <c r="M201" s="59">
        <f t="shared" si="39"/>
        <v>0</v>
      </c>
      <c r="N201" s="41"/>
      <c r="O201" s="41"/>
      <c r="P201" s="41"/>
    </row>
    <row r="202" spans="1:16" x14ac:dyDescent="0.2">
      <c r="A202" s="332">
        <v>4015600056629</v>
      </c>
      <c r="B202" s="303" t="s">
        <v>15</v>
      </c>
      <c r="C202" s="309" t="s">
        <v>475</v>
      </c>
      <c r="D202" s="333" t="s">
        <v>135</v>
      </c>
      <c r="E202" s="489">
        <v>177.82</v>
      </c>
      <c r="F202" s="56"/>
      <c r="G202" s="264"/>
      <c r="H202" s="417">
        <f t="shared" si="35"/>
        <v>0</v>
      </c>
      <c r="I202" s="50">
        <f t="shared" si="28"/>
        <v>0</v>
      </c>
      <c r="J202" s="57">
        <f t="shared" si="36"/>
        <v>0</v>
      </c>
      <c r="K202" s="58">
        <f t="shared" si="37"/>
        <v>0</v>
      </c>
      <c r="L202" s="51">
        <f t="shared" si="38"/>
        <v>0</v>
      </c>
      <c r="M202" s="59">
        <f t="shared" si="39"/>
        <v>0</v>
      </c>
      <c r="N202" s="41"/>
      <c r="O202" s="41"/>
      <c r="P202" s="41"/>
    </row>
    <row r="203" spans="1:16" x14ac:dyDescent="0.2">
      <c r="A203" s="332">
        <v>4015600056872</v>
      </c>
      <c r="B203" s="303" t="s">
        <v>15</v>
      </c>
      <c r="C203" s="309" t="s">
        <v>475</v>
      </c>
      <c r="D203" s="333" t="s">
        <v>136</v>
      </c>
      <c r="E203" s="489">
        <v>177.82</v>
      </c>
      <c r="F203" s="56"/>
      <c r="G203" s="264"/>
      <c r="H203" s="417">
        <f t="shared" si="35"/>
        <v>0</v>
      </c>
      <c r="I203" s="50">
        <f t="shared" si="28"/>
        <v>0</v>
      </c>
      <c r="J203" s="57">
        <f t="shared" si="36"/>
        <v>0</v>
      </c>
      <c r="K203" s="58">
        <f t="shared" si="37"/>
        <v>0</v>
      </c>
      <c r="L203" s="51">
        <f t="shared" si="38"/>
        <v>0</v>
      </c>
      <c r="M203" s="59">
        <f t="shared" si="39"/>
        <v>0</v>
      </c>
      <c r="N203" s="41"/>
      <c r="O203" s="41"/>
      <c r="P203" s="41"/>
    </row>
    <row r="204" spans="1:16" x14ac:dyDescent="0.2">
      <c r="A204" s="332">
        <v>4015600056636</v>
      </c>
      <c r="B204" s="303" t="s">
        <v>15</v>
      </c>
      <c r="C204" s="309" t="s">
        <v>475</v>
      </c>
      <c r="D204" s="333" t="s">
        <v>137</v>
      </c>
      <c r="E204" s="489">
        <v>177.82</v>
      </c>
      <c r="F204" s="56"/>
      <c r="G204" s="264"/>
      <c r="H204" s="417">
        <f t="shared" si="35"/>
        <v>0</v>
      </c>
      <c r="I204" s="50">
        <f t="shared" si="28"/>
        <v>0</v>
      </c>
      <c r="J204" s="57">
        <f t="shared" si="36"/>
        <v>0</v>
      </c>
      <c r="K204" s="58">
        <f t="shared" si="37"/>
        <v>0</v>
      </c>
      <c r="L204" s="51">
        <f t="shared" si="38"/>
        <v>0</v>
      </c>
      <c r="M204" s="59">
        <f t="shared" si="39"/>
        <v>0</v>
      </c>
      <c r="N204" s="41"/>
      <c r="O204" s="41"/>
      <c r="P204" s="41"/>
    </row>
    <row r="205" spans="1:16" x14ac:dyDescent="0.2">
      <c r="A205" s="332">
        <v>4015600056926</v>
      </c>
      <c r="B205" s="303" t="s">
        <v>15</v>
      </c>
      <c r="C205" s="309" t="s">
        <v>475</v>
      </c>
      <c r="D205" s="333" t="s">
        <v>138</v>
      </c>
      <c r="E205" s="489">
        <v>177.82</v>
      </c>
      <c r="F205" s="56"/>
      <c r="G205" s="264"/>
      <c r="H205" s="417">
        <f t="shared" si="35"/>
        <v>0</v>
      </c>
      <c r="I205" s="50">
        <f t="shared" si="28"/>
        <v>0</v>
      </c>
      <c r="J205" s="57">
        <f t="shared" si="36"/>
        <v>0</v>
      </c>
      <c r="K205" s="58">
        <f t="shared" si="37"/>
        <v>0</v>
      </c>
      <c r="L205" s="51">
        <f t="shared" si="38"/>
        <v>0</v>
      </c>
      <c r="M205" s="59">
        <f t="shared" si="39"/>
        <v>0</v>
      </c>
      <c r="N205" s="41"/>
      <c r="O205" s="41"/>
      <c r="P205" s="41"/>
    </row>
    <row r="206" spans="1:16" x14ac:dyDescent="0.2">
      <c r="A206" s="332">
        <v>4015600056643</v>
      </c>
      <c r="B206" s="303" t="s">
        <v>15</v>
      </c>
      <c r="C206" s="309" t="s">
        <v>475</v>
      </c>
      <c r="D206" s="333" t="s">
        <v>139</v>
      </c>
      <c r="E206" s="489">
        <v>177.82</v>
      </c>
      <c r="F206" s="56"/>
      <c r="G206" s="264"/>
      <c r="H206" s="417">
        <f t="shared" si="35"/>
        <v>0</v>
      </c>
      <c r="I206" s="50">
        <f t="shared" si="28"/>
        <v>0</v>
      </c>
      <c r="J206" s="57">
        <f t="shared" si="36"/>
        <v>0</v>
      </c>
      <c r="K206" s="58">
        <f t="shared" si="37"/>
        <v>0</v>
      </c>
      <c r="L206" s="51">
        <f t="shared" si="38"/>
        <v>0</v>
      </c>
      <c r="M206" s="59">
        <f t="shared" si="39"/>
        <v>0</v>
      </c>
      <c r="N206" s="41"/>
      <c r="O206" s="41"/>
      <c r="P206" s="41"/>
    </row>
    <row r="207" spans="1:16" x14ac:dyDescent="0.2">
      <c r="A207" s="332">
        <v>4015600056728</v>
      </c>
      <c r="B207" s="303" t="s">
        <v>15</v>
      </c>
      <c r="C207" s="309" t="s">
        <v>475</v>
      </c>
      <c r="D207" s="333" t="s">
        <v>140</v>
      </c>
      <c r="E207" s="489">
        <v>177.82</v>
      </c>
      <c r="F207" s="56"/>
      <c r="G207" s="264"/>
      <c r="H207" s="417">
        <f t="shared" si="35"/>
        <v>0</v>
      </c>
      <c r="I207" s="50">
        <f t="shared" si="28"/>
        <v>0</v>
      </c>
      <c r="J207" s="57">
        <f t="shared" si="36"/>
        <v>0</v>
      </c>
      <c r="K207" s="58">
        <f t="shared" si="37"/>
        <v>0</v>
      </c>
      <c r="L207" s="51">
        <f t="shared" si="38"/>
        <v>0</v>
      </c>
      <c r="M207" s="59">
        <f t="shared" si="39"/>
        <v>0</v>
      </c>
      <c r="N207" s="41"/>
      <c r="O207" s="41"/>
      <c r="P207" s="41"/>
    </row>
    <row r="208" spans="1:16" x14ac:dyDescent="0.2">
      <c r="A208" s="332">
        <v>4015600056858</v>
      </c>
      <c r="B208" s="303" t="s">
        <v>15</v>
      </c>
      <c r="C208" s="309" t="s">
        <v>535</v>
      </c>
      <c r="D208" s="333" t="s">
        <v>141</v>
      </c>
      <c r="E208" s="489">
        <v>177.82</v>
      </c>
      <c r="F208" s="56"/>
      <c r="G208" s="264"/>
      <c r="H208" s="417">
        <f t="shared" si="35"/>
        <v>0</v>
      </c>
      <c r="I208" s="50">
        <f t="shared" si="28"/>
        <v>0</v>
      </c>
      <c r="J208" s="57">
        <f t="shared" si="36"/>
        <v>0</v>
      </c>
      <c r="K208" s="58">
        <f t="shared" si="37"/>
        <v>0</v>
      </c>
      <c r="L208" s="51">
        <f t="shared" si="38"/>
        <v>0</v>
      </c>
      <c r="M208" s="59">
        <f t="shared" si="39"/>
        <v>0</v>
      </c>
      <c r="N208" s="41"/>
      <c r="O208" s="41"/>
      <c r="P208" s="41"/>
    </row>
    <row r="209" spans="1:16" x14ac:dyDescent="0.2">
      <c r="A209" s="306">
        <v>4015600056889</v>
      </c>
      <c r="B209" s="303" t="s">
        <v>15</v>
      </c>
      <c r="C209" s="309" t="s">
        <v>475</v>
      </c>
      <c r="D209" s="307" t="s">
        <v>142</v>
      </c>
      <c r="E209" s="489">
        <v>177.82</v>
      </c>
      <c r="F209" s="56"/>
      <c r="G209" s="264"/>
      <c r="H209" s="417">
        <f t="shared" si="35"/>
        <v>0</v>
      </c>
      <c r="I209" s="50">
        <f t="shared" si="28"/>
        <v>0</v>
      </c>
      <c r="J209" s="57">
        <f t="shared" si="36"/>
        <v>0</v>
      </c>
      <c r="K209" s="58">
        <f t="shared" si="37"/>
        <v>0</v>
      </c>
      <c r="L209" s="51">
        <f t="shared" si="38"/>
        <v>0</v>
      </c>
      <c r="M209" s="59">
        <f t="shared" si="39"/>
        <v>0</v>
      </c>
      <c r="N209" s="41"/>
      <c r="O209" s="41"/>
      <c r="P209" s="41"/>
    </row>
    <row r="210" spans="1:16" x14ac:dyDescent="0.2">
      <c r="A210" s="306">
        <v>4015600056957</v>
      </c>
      <c r="B210" s="303" t="s">
        <v>15</v>
      </c>
      <c r="C210" s="309" t="s">
        <v>475</v>
      </c>
      <c r="D210" s="307" t="s">
        <v>143</v>
      </c>
      <c r="E210" s="489">
        <v>177.82</v>
      </c>
      <c r="F210" s="56"/>
      <c r="G210" s="264"/>
      <c r="H210" s="417">
        <f t="shared" si="35"/>
        <v>0</v>
      </c>
      <c r="I210" s="50">
        <f t="shared" si="28"/>
        <v>0</v>
      </c>
      <c r="J210" s="57">
        <f t="shared" si="36"/>
        <v>0</v>
      </c>
      <c r="K210" s="58">
        <f t="shared" si="37"/>
        <v>0</v>
      </c>
      <c r="L210" s="51">
        <f t="shared" si="38"/>
        <v>0</v>
      </c>
      <c r="M210" s="59">
        <f t="shared" si="39"/>
        <v>0</v>
      </c>
      <c r="N210" s="41"/>
      <c r="O210" s="41"/>
      <c r="P210" s="41"/>
    </row>
    <row r="211" spans="1:16" x14ac:dyDescent="0.2">
      <c r="A211" s="332">
        <v>8005610353616</v>
      </c>
      <c r="B211" s="303" t="s">
        <v>15</v>
      </c>
      <c r="C211" s="309" t="s">
        <v>535</v>
      </c>
      <c r="D211" s="333" t="s">
        <v>567</v>
      </c>
      <c r="E211" s="489">
        <v>177.82</v>
      </c>
      <c r="F211" s="56"/>
      <c r="G211" s="264"/>
      <c r="H211" s="417">
        <f t="shared" si="35"/>
        <v>0</v>
      </c>
      <c r="I211" s="50">
        <f t="shared" si="28"/>
        <v>0</v>
      </c>
      <c r="J211" s="57">
        <f t="shared" si="36"/>
        <v>0</v>
      </c>
      <c r="K211" s="58">
        <f t="shared" si="37"/>
        <v>0</v>
      </c>
      <c r="L211" s="51">
        <f t="shared" si="38"/>
        <v>0</v>
      </c>
      <c r="M211" s="59">
        <f t="shared" si="39"/>
        <v>0</v>
      </c>
      <c r="N211" s="41"/>
      <c r="O211" s="41"/>
      <c r="P211" s="41"/>
    </row>
    <row r="212" spans="1:16" x14ac:dyDescent="0.2">
      <c r="A212" s="306">
        <v>4015600056919</v>
      </c>
      <c r="B212" s="303" t="s">
        <v>15</v>
      </c>
      <c r="C212" s="309" t="s">
        <v>535</v>
      </c>
      <c r="D212" s="307" t="s">
        <v>144</v>
      </c>
      <c r="E212" s="489">
        <v>177.82</v>
      </c>
      <c r="F212" s="56"/>
      <c r="G212" s="264"/>
      <c r="H212" s="417">
        <f t="shared" si="35"/>
        <v>0</v>
      </c>
      <c r="I212" s="50">
        <f t="shared" si="28"/>
        <v>0</v>
      </c>
      <c r="J212" s="57">
        <f t="shared" si="36"/>
        <v>0</v>
      </c>
      <c r="K212" s="58">
        <f t="shared" si="37"/>
        <v>0</v>
      </c>
      <c r="L212" s="51">
        <f t="shared" si="38"/>
        <v>0</v>
      </c>
      <c r="M212" s="59">
        <f t="shared" si="39"/>
        <v>0</v>
      </c>
      <c r="N212" s="41"/>
      <c r="O212" s="41"/>
      <c r="P212" s="41"/>
    </row>
    <row r="213" spans="1:16" x14ac:dyDescent="0.2">
      <c r="A213" s="332">
        <v>99350190726</v>
      </c>
      <c r="B213" s="303" t="s">
        <v>15</v>
      </c>
      <c r="C213" s="309" t="s">
        <v>475</v>
      </c>
      <c r="D213" s="334" t="s">
        <v>522</v>
      </c>
      <c r="E213" s="489">
        <v>177.82</v>
      </c>
      <c r="F213" s="56"/>
      <c r="G213" s="264"/>
      <c r="H213" s="417">
        <f t="shared" si="35"/>
        <v>0</v>
      </c>
      <c r="I213" s="50">
        <f t="shared" si="28"/>
        <v>0</v>
      </c>
      <c r="J213" s="57">
        <f t="shared" si="36"/>
        <v>0</v>
      </c>
      <c r="K213" s="58">
        <f t="shared" si="37"/>
        <v>0</v>
      </c>
      <c r="L213" s="51">
        <f t="shared" si="38"/>
        <v>0</v>
      </c>
      <c r="M213" s="59">
        <f t="shared" si="39"/>
        <v>0</v>
      </c>
      <c r="N213" s="41"/>
      <c r="O213" s="41"/>
      <c r="P213" s="41"/>
    </row>
    <row r="214" spans="1:16" x14ac:dyDescent="0.2">
      <c r="A214" s="306">
        <v>4015600056650</v>
      </c>
      <c r="B214" s="303" t="s">
        <v>15</v>
      </c>
      <c r="C214" s="309" t="s">
        <v>475</v>
      </c>
      <c r="D214" s="307" t="s">
        <v>145</v>
      </c>
      <c r="E214" s="489">
        <v>177.82</v>
      </c>
      <c r="F214" s="56"/>
      <c r="G214" s="264"/>
      <c r="H214" s="417">
        <f t="shared" si="35"/>
        <v>0</v>
      </c>
      <c r="I214" s="50">
        <f t="shared" si="28"/>
        <v>0</v>
      </c>
      <c r="J214" s="57">
        <f t="shared" si="36"/>
        <v>0</v>
      </c>
      <c r="K214" s="58">
        <f t="shared" si="37"/>
        <v>0</v>
      </c>
      <c r="L214" s="51">
        <f t="shared" si="38"/>
        <v>0</v>
      </c>
      <c r="M214" s="59">
        <f t="shared" si="39"/>
        <v>0</v>
      </c>
      <c r="N214" s="41"/>
      <c r="O214" s="41"/>
      <c r="P214" s="41"/>
    </row>
    <row r="215" spans="1:16" x14ac:dyDescent="0.2">
      <c r="A215" s="332">
        <v>99350187977</v>
      </c>
      <c r="B215" s="303" t="s">
        <v>15</v>
      </c>
      <c r="C215" s="309" t="s">
        <v>475</v>
      </c>
      <c r="D215" s="334" t="s">
        <v>518</v>
      </c>
      <c r="E215" s="489">
        <v>177.82</v>
      </c>
      <c r="F215" s="56"/>
      <c r="G215" s="264"/>
      <c r="H215" s="417">
        <f t="shared" si="35"/>
        <v>0</v>
      </c>
      <c r="I215" s="50">
        <f t="shared" si="28"/>
        <v>0</v>
      </c>
      <c r="J215" s="57">
        <f t="shared" si="36"/>
        <v>0</v>
      </c>
      <c r="K215" s="58">
        <f t="shared" si="37"/>
        <v>0</v>
      </c>
      <c r="L215" s="51">
        <f t="shared" si="38"/>
        <v>0</v>
      </c>
      <c r="M215" s="59">
        <f t="shared" si="39"/>
        <v>0</v>
      </c>
      <c r="N215" s="41"/>
      <c r="O215" s="41"/>
      <c r="P215" s="41"/>
    </row>
    <row r="216" spans="1:16" x14ac:dyDescent="0.2">
      <c r="A216" s="306">
        <v>4015600056759</v>
      </c>
      <c r="B216" s="303" t="s">
        <v>15</v>
      </c>
      <c r="C216" s="309" t="s">
        <v>475</v>
      </c>
      <c r="D216" s="307" t="s">
        <v>146</v>
      </c>
      <c r="E216" s="489">
        <v>177.82</v>
      </c>
      <c r="F216" s="56"/>
      <c r="G216" s="264"/>
      <c r="H216" s="417">
        <f t="shared" si="35"/>
        <v>0</v>
      </c>
      <c r="I216" s="50">
        <f t="shared" si="28"/>
        <v>0</v>
      </c>
      <c r="J216" s="57">
        <f t="shared" si="36"/>
        <v>0</v>
      </c>
      <c r="K216" s="58">
        <f t="shared" si="37"/>
        <v>0</v>
      </c>
      <c r="L216" s="51">
        <f t="shared" si="38"/>
        <v>0</v>
      </c>
      <c r="M216" s="59">
        <f t="shared" si="39"/>
        <v>0</v>
      </c>
      <c r="N216" s="41"/>
      <c r="O216" s="41"/>
      <c r="P216" s="41"/>
    </row>
    <row r="217" spans="1:16" x14ac:dyDescent="0.2">
      <c r="A217" s="306">
        <v>4015600056780</v>
      </c>
      <c r="B217" s="303" t="s">
        <v>15</v>
      </c>
      <c r="C217" s="309" t="s">
        <v>475</v>
      </c>
      <c r="D217" s="307" t="s">
        <v>147</v>
      </c>
      <c r="E217" s="489">
        <v>177.82</v>
      </c>
      <c r="F217" s="56"/>
      <c r="G217" s="264"/>
      <c r="H217" s="417">
        <f t="shared" si="35"/>
        <v>0</v>
      </c>
      <c r="I217" s="50">
        <f t="shared" si="28"/>
        <v>0</v>
      </c>
      <c r="J217" s="57">
        <f t="shared" si="36"/>
        <v>0</v>
      </c>
      <c r="K217" s="58">
        <f t="shared" si="37"/>
        <v>0</v>
      </c>
      <c r="L217" s="51">
        <f t="shared" si="38"/>
        <v>0</v>
      </c>
      <c r="M217" s="59">
        <f t="shared" si="39"/>
        <v>0</v>
      </c>
      <c r="N217" s="41"/>
      <c r="O217" s="41"/>
      <c r="P217" s="41"/>
    </row>
    <row r="218" spans="1:16" x14ac:dyDescent="0.2">
      <c r="A218" s="306">
        <v>4015600056841</v>
      </c>
      <c r="B218" s="303" t="s">
        <v>15</v>
      </c>
      <c r="C218" s="309" t="s">
        <v>475</v>
      </c>
      <c r="D218" s="307" t="s">
        <v>148</v>
      </c>
      <c r="E218" s="489">
        <v>177.82</v>
      </c>
      <c r="F218" s="56"/>
      <c r="G218" s="264"/>
      <c r="H218" s="417">
        <f t="shared" si="35"/>
        <v>0</v>
      </c>
      <c r="I218" s="50">
        <f t="shared" si="28"/>
        <v>0</v>
      </c>
      <c r="J218" s="57">
        <f t="shared" si="36"/>
        <v>0</v>
      </c>
      <c r="K218" s="58">
        <f t="shared" si="37"/>
        <v>0</v>
      </c>
      <c r="L218" s="51">
        <f t="shared" si="38"/>
        <v>0</v>
      </c>
      <c r="M218" s="59">
        <f t="shared" si="39"/>
        <v>0</v>
      </c>
      <c r="N218" s="41"/>
      <c r="O218" s="41"/>
      <c r="P218" s="41"/>
    </row>
    <row r="219" spans="1:16" x14ac:dyDescent="0.2">
      <c r="A219" s="306">
        <v>4015600056933</v>
      </c>
      <c r="B219" s="303" t="s">
        <v>15</v>
      </c>
      <c r="C219" s="309" t="s">
        <v>475</v>
      </c>
      <c r="D219" s="307" t="s">
        <v>149</v>
      </c>
      <c r="E219" s="489">
        <v>177.82</v>
      </c>
      <c r="F219" s="56"/>
      <c r="G219" s="264"/>
      <c r="H219" s="417">
        <f t="shared" si="35"/>
        <v>0</v>
      </c>
      <c r="I219" s="50">
        <f t="shared" si="28"/>
        <v>0</v>
      </c>
      <c r="J219" s="57">
        <f t="shared" si="36"/>
        <v>0</v>
      </c>
      <c r="K219" s="58">
        <f t="shared" si="37"/>
        <v>0</v>
      </c>
      <c r="L219" s="51">
        <f t="shared" si="38"/>
        <v>0</v>
      </c>
      <c r="M219" s="59">
        <f t="shared" si="39"/>
        <v>0</v>
      </c>
      <c r="N219" s="41"/>
      <c r="O219" s="41"/>
      <c r="P219" s="41"/>
    </row>
    <row r="220" spans="1:16" x14ac:dyDescent="0.2">
      <c r="A220" s="306">
        <v>4015600056964</v>
      </c>
      <c r="B220" s="303" t="s">
        <v>15</v>
      </c>
      <c r="C220" s="309" t="s">
        <v>475</v>
      </c>
      <c r="D220" s="307" t="s">
        <v>150</v>
      </c>
      <c r="E220" s="489">
        <v>177.82</v>
      </c>
      <c r="F220" s="56"/>
      <c r="G220" s="264"/>
      <c r="H220" s="417">
        <f t="shared" si="35"/>
        <v>0</v>
      </c>
      <c r="I220" s="50">
        <f t="shared" si="28"/>
        <v>0</v>
      </c>
      <c r="J220" s="57">
        <f t="shared" si="36"/>
        <v>0</v>
      </c>
      <c r="K220" s="58">
        <f t="shared" si="37"/>
        <v>0</v>
      </c>
      <c r="L220" s="51">
        <f t="shared" si="38"/>
        <v>0</v>
      </c>
      <c r="M220" s="59">
        <f t="shared" si="39"/>
        <v>0</v>
      </c>
      <c r="N220" s="41"/>
      <c r="O220" s="41"/>
      <c r="P220" s="41"/>
    </row>
    <row r="221" spans="1:16" x14ac:dyDescent="0.2">
      <c r="A221" s="306">
        <v>4015600057039</v>
      </c>
      <c r="B221" s="303" t="s">
        <v>15</v>
      </c>
      <c r="C221" s="309" t="s">
        <v>475</v>
      </c>
      <c r="D221" s="307" t="s">
        <v>151</v>
      </c>
      <c r="E221" s="489">
        <v>177.82</v>
      </c>
      <c r="F221" s="56"/>
      <c r="G221" s="264"/>
      <c r="H221" s="417">
        <f t="shared" si="35"/>
        <v>0</v>
      </c>
      <c r="I221" s="50">
        <f t="shared" si="28"/>
        <v>0</v>
      </c>
      <c r="J221" s="57">
        <f t="shared" si="36"/>
        <v>0</v>
      </c>
      <c r="K221" s="58">
        <f t="shared" si="37"/>
        <v>0</v>
      </c>
      <c r="L221" s="51">
        <f t="shared" si="38"/>
        <v>0</v>
      </c>
      <c r="M221" s="59">
        <f t="shared" si="39"/>
        <v>0</v>
      </c>
      <c r="N221" s="41"/>
      <c r="O221" s="41"/>
      <c r="P221" s="41"/>
    </row>
    <row r="222" spans="1:16" x14ac:dyDescent="0.2">
      <c r="A222" s="306">
        <v>4015600056896</v>
      </c>
      <c r="B222" s="303" t="s">
        <v>15</v>
      </c>
      <c r="C222" s="309" t="s">
        <v>621</v>
      </c>
      <c r="D222" s="307" t="s">
        <v>152</v>
      </c>
      <c r="E222" s="489">
        <v>177.82</v>
      </c>
      <c r="F222" s="56"/>
      <c r="G222" s="264"/>
      <c r="H222" s="417">
        <f t="shared" si="35"/>
        <v>0</v>
      </c>
      <c r="I222" s="50">
        <f t="shared" ref="I222:I285" si="40">IF(C222="Faltante",0,E222*F222)</f>
        <v>0</v>
      </c>
      <c r="J222" s="57">
        <f t="shared" si="36"/>
        <v>0</v>
      </c>
      <c r="K222" s="58">
        <f t="shared" si="37"/>
        <v>0</v>
      </c>
      <c r="L222" s="51">
        <f t="shared" si="38"/>
        <v>0</v>
      </c>
      <c r="M222" s="59">
        <f t="shared" si="39"/>
        <v>0</v>
      </c>
      <c r="N222" s="41"/>
      <c r="O222" s="41"/>
      <c r="P222" s="41"/>
    </row>
    <row r="223" spans="1:16" x14ac:dyDescent="0.2">
      <c r="A223" s="306">
        <v>4015600056667</v>
      </c>
      <c r="B223" s="303" t="s">
        <v>15</v>
      </c>
      <c r="C223" s="309" t="s">
        <v>475</v>
      </c>
      <c r="D223" s="307" t="s">
        <v>153</v>
      </c>
      <c r="E223" s="489">
        <v>177.82</v>
      </c>
      <c r="F223" s="56"/>
      <c r="G223" s="264"/>
      <c r="H223" s="417">
        <f t="shared" si="35"/>
        <v>0</v>
      </c>
      <c r="I223" s="50">
        <f t="shared" si="40"/>
        <v>0</v>
      </c>
      <c r="J223" s="57">
        <f t="shared" si="36"/>
        <v>0</v>
      </c>
      <c r="K223" s="58">
        <f t="shared" si="37"/>
        <v>0</v>
      </c>
      <c r="L223" s="51">
        <f t="shared" si="38"/>
        <v>0</v>
      </c>
      <c r="M223" s="59">
        <f t="shared" si="39"/>
        <v>0</v>
      </c>
      <c r="N223" s="41"/>
      <c r="O223" s="41"/>
      <c r="P223" s="41"/>
    </row>
    <row r="224" spans="1:16" x14ac:dyDescent="0.2">
      <c r="A224" s="306">
        <v>4015600056735</v>
      </c>
      <c r="B224" s="303" t="s">
        <v>15</v>
      </c>
      <c r="C224" s="309" t="s">
        <v>475</v>
      </c>
      <c r="D224" s="307" t="s">
        <v>154</v>
      </c>
      <c r="E224" s="489">
        <v>177.82</v>
      </c>
      <c r="F224" s="56"/>
      <c r="G224" s="264"/>
      <c r="H224" s="417">
        <f t="shared" si="35"/>
        <v>0</v>
      </c>
      <c r="I224" s="50">
        <f t="shared" si="40"/>
        <v>0</v>
      </c>
      <c r="J224" s="57">
        <f t="shared" si="36"/>
        <v>0</v>
      </c>
      <c r="K224" s="58">
        <f t="shared" si="37"/>
        <v>0</v>
      </c>
      <c r="L224" s="51">
        <f t="shared" si="38"/>
        <v>0</v>
      </c>
      <c r="M224" s="59">
        <f t="shared" si="39"/>
        <v>0</v>
      </c>
      <c r="N224" s="41"/>
      <c r="O224" s="41"/>
      <c r="P224" s="41"/>
    </row>
    <row r="225" spans="1:16" x14ac:dyDescent="0.2">
      <c r="A225" s="306">
        <v>4015600056766</v>
      </c>
      <c r="B225" s="303" t="s">
        <v>15</v>
      </c>
      <c r="C225" s="309" t="s">
        <v>475</v>
      </c>
      <c r="D225" s="307" t="s">
        <v>155</v>
      </c>
      <c r="E225" s="489">
        <v>177.82</v>
      </c>
      <c r="F225" s="56"/>
      <c r="G225" s="264"/>
      <c r="H225" s="417">
        <f t="shared" si="35"/>
        <v>0</v>
      </c>
      <c r="I225" s="50">
        <f t="shared" si="40"/>
        <v>0</v>
      </c>
      <c r="J225" s="57">
        <f t="shared" si="36"/>
        <v>0</v>
      </c>
      <c r="K225" s="58">
        <f t="shared" si="37"/>
        <v>0</v>
      </c>
      <c r="L225" s="51">
        <f t="shared" si="38"/>
        <v>0</v>
      </c>
      <c r="M225" s="59">
        <f t="shared" si="39"/>
        <v>0</v>
      </c>
      <c r="N225" s="41"/>
      <c r="O225" s="41"/>
      <c r="P225" s="41"/>
    </row>
    <row r="226" spans="1:16" x14ac:dyDescent="0.2">
      <c r="A226" s="306">
        <v>4015600056834</v>
      </c>
      <c r="B226" s="303" t="s">
        <v>15</v>
      </c>
      <c r="C226" s="309" t="s">
        <v>475</v>
      </c>
      <c r="D226" s="307" t="s">
        <v>156</v>
      </c>
      <c r="E226" s="489">
        <v>177.82</v>
      </c>
      <c r="F226" s="56"/>
      <c r="G226" s="264"/>
      <c r="H226" s="417">
        <f t="shared" si="35"/>
        <v>0</v>
      </c>
      <c r="I226" s="50">
        <f t="shared" si="40"/>
        <v>0</v>
      </c>
      <c r="J226" s="57">
        <f t="shared" si="36"/>
        <v>0</v>
      </c>
      <c r="K226" s="58">
        <f t="shared" si="37"/>
        <v>0</v>
      </c>
      <c r="L226" s="51">
        <f t="shared" si="38"/>
        <v>0</v>
      </c>
      <c r="M226" s="59">
        <f t="shared" si="39"/>
        <v>0</v>
      </c>
      <c r="N226" s="41"/>
      <c r="O226" s="41"/>
      <c r="P226" s="41"/>
    </row>
    <row r="227" spans="1:16" x14ac:dyDescent="0.2">
      <c r="A227" s="306">
        <v>4015600056940</v>
      </c>
      <c r="B227" s="303" t="s">
        <v>15</v>
      </c>
      <c r="C227" s="309" t="s">
        <v>475</v>
      </c>
      <c r="D227" s="307" t="s">
        <v>157</v>
      </c>
      <c r="E227" s="489">
        <v>177.82</v>
      </c>
      <c r="F227" s="56"/>
      <c r="G227" s="264"/>
      <c r="H227" s="417">
        <f t="shared" si="35"/>
        <v>0</v>
      </c>
      <c r="I227" s="50">
        <f t="shared" si="40"/>
        <v>0</v>
      </c>
      <c r="J227" s="57">
        <f t="shared" si="36"/>
        <v>0</v>
      </c>
      <c r="K227" s="58">
        <f t="shared" si="37"/>
        <v>0</v>
      </c>
      <c r="L227" s="51">
        <f t="shared" si="38"/>
        <v>0</v>
      </c>
      <c r="M227" s="59">
        <f t="shared" si="39"/>
        <v>0</v>
      </c>
      <c r="N227" s="41"/>
      <c r="O227" s="41"/>
      <c r="P227" s="41"/>
    </row>
    <row r="228" spans="1:16" x14ac:dyDescent="0.2">
      <c r="A228" s="332">
        <v>4015600056971</v>
      </c>
      <c r="B228" s="303" t="s">
        <v>15</v>
      </c>
      <c r="C228" s="309" t="s">
        <v>475</v>
      </c>
      <c r="D228" s="333" t="s">
        <v>158</v>
      </c>
      <c r="E228" s="489">
        <v>177.82</v>
      </c>
      <c r="F228" s="56"/>
      <c r="G228" s="264"/>
      <c r="H228" s="417">
        <f t="shared" si="35"/>
        <v>0</v>
      </c>
      <c r="I228" s="50">
        <f t="shared" si="40"/>
        <v>0</v>
      </c>
      <c r="J228" s="57">
        <f t="shared" si="36"/>
        <v>0</v>
      </c>
      <c r="K228" s="58">
        <f t="shared" si="37"/>
        <v>0</v>
      </c>
      <c r="L228" s="51">
        <f t="shared" si="38"/>
        <v>0</v>
      </c>
      <c r="M228" s="59">
        <f t="shared" si="39"/>
        <v>0</v>
      </c>
      <c r="N228" s="41"/>
      <c r="O228" s="41"/>
      <c r="P228" s="41"/>
    </row>
    <row r="229" spans="1:16" x14ac:dyDescent="0.2">
      <c r="A229" s="306">
        <v>4015600056995</v>
      </c>
      <c r="B229" s="303" t="s">
        <v>15</v>
      </c>
      <c r="C229" s="309" t="s">
        <v>475</v>
      </c>
      <c r="D229" s="307" t="s">
        <v>159</v>
      </c>
      <c r="E229" s="489">
        <v>177.82</v>
      </c>
      <c r="F229" s="56"/>
      <c r="G229" s="264"/>
      <c r="H229" s="417">
        <f t="shared" si="35"/>
        <v>0</v>
      </c>
      <c r="I229" s="50">
        <f t="shared" si="40"/>
        <v>0</v>
      </c>
      <c r="J229" s="57">
        <f t="shared" si="36"/>
        <v>0</v>
      </c>
      <c r="K229" s="58">
        <f t="shared" si="37"/>
        <v>0</v>
      </c>
      <c r="L229" s="51">
        <f t="shared" si="38"/>
        <v>0</v>
      </c>
      <c r="M229" s="59">
        <f t="shared" si="39"/>
        <v>0</v>
      </c>
      <c r="N229" s="41"/>
      <c r="O229" s="41"/>
      <c r="P229" s="41"/>
    </row>
    <row r="230" spans="1:16" x14ac:dyDescent="0.2">
      <c r="A230" s="306">
        <v>99240067637</v>
      </c>
      <c r="B230" s="303" t="s">
        <v>15</v>
      </c>
      <c r="C230" s="309" t="s">
        <v>475</v>
      </c>
      <c r="D230" s="307" t="s">
        <v>568</v>
      </c>
      <c r="E230" s="489">
        <v>177.82</v>
      </c>
      <c r="F230" s="56"/>
      <c r="G230" s="264"/>
      <c r="H230" s="417">
        <f t="shared" ref="H230:H247" si="41">(F230+G230)</f>
        <v>0</v>
      </c>
      <c r="I230" s="50">
        <f t="shared" si="40"/>
        <v>0</v>
      </c>
      <c r="J230" s="57">
        <f t="shared" si="36"/>
        <v>0</v>
      </c>
      <c r="K230" s="58">
        <f t="shared" ref="K230:K247" si="42">I230-J230</f>
        <v>0</v>
      </c>
      <c r="L230" s="51">
        <f t="shared" si="38"/>
        <v>0</v>
      </c>
      <c r="M230" s="59">
        <f t="shared" ref="M230:M247" si="43">K230+L230</f>
        <v>0</v>
      </c>
      <c r="N230" s="41"/>
      <c r="O230" s="41"/>
      <c r="P230" s="41"/>
    </row>
    <row r="231" spans="1:16" x14ac:dyDescent="0.2">
      <c r="A231" s="306">
        <v>4015600056810</v>
      </c>
      <c r="B231" s="303" t="s">
        <v>15</v>
      </c>
      <c r="C231" s="309" t="s">
        <v>475</v>
      </c>
      <c r="D231" s="307" t="s">
        <v>160</v>
      </c>
      <c r="E231" s="489">
        <v>177.82</v>
      </c>
      <c r="F231" s="56"/>
      <c r="G231" s="264"/>
      <c r="H231" s="417">
        <f t="shared" si="41"/>
        <v>0</v>
      </c>
      <c r="I231" s="50">
        <f t="shared" si="40"/>
        <v>0</v>
      </c>
      <c r="J231" s="57">
        <f t="shared" si="36"/>
        <v>0</v>
      </c>
      <c r="K231" s="58">
        <f t="shared" si="42"/>
        <v>0</v>
      </c>
      <c r="L231" s="51">
        <f t="shared" si="38"/>
        <v>0</v>
      </c>
      <c r="M231" s="59">
        <f t="shared" si="43"/>
        <v>0</v>
      </c>
      <c r="N231" s="41"/>
      <c r="O231" s="41"/>
      <c r="P231" s="41"/>
    </row>
    <row r="232" spans="1:16" x14ac:dyDescent="0.2">
      <c r="A232" s="306">
        <v>8005610354095</v>
      </c>
      <c r="B232" s="303" t="s">
        <v>15</v>
      </c>
      <c r="C232" s="309" t="s">
        <v>475</v>
      </c>
      <c r="D232" s="307" t="s">
        <v>569</v>
      </c>
      <c r="E232" s="489">
        <v>177.82</v>
      </c>
      <c r="F232" s="56"/>
      <c r="G232" s="264"/>
      <c r="H232" s="417">
        <f t="shared" si="41"/>
        <v>0</v>
      </c>
      <c r="I232" s="50">
        <f t="shared" si="40"/>
        <v>0</v>
      </c>
      <c r="J232" s="57">
        <f t="shared" si="36"/>
        <v>0</v>
      </c>
      <c r="K232" s="58">
        <f t="shared" si="42"/>
        <v>0</v>
      </c>
      <c r="L232" s="51">
        <f t="shared" si="38"/>
        <v>0</v>
      </c>
      <c r="M232" s="59">
        <f t="shared" si="43"/>
        <v>0</v>
      </c>
      <c r="N232" s="41"/>
      <c r="O232" s="41"/>
      <c r="P232" s="41"/>
    </row>
    <row r="233" spans="1:16" x14ac:dyDescent="0.2">
      <c r="A233" s="306">
        <v>4015600056902</v>
      </c>
      <c r="B233" s="303" t="s">
        <v>15</v>
      </c>
      <c r="C233" s="309" t="s">
        <v>475</v>
      </c>
      <c r="D233" s="307" t="s">
        <v>161</v>
      </c>
      <c r="E233" s="489">
        <v>177.82</v>
      </c>
      <c r="F233" s="56"/>
      <c r="G233" s="264"/>
      <c r="H233" s="417">
        <f t="shared" si="41"/>
        <v>0</v>
      </c>
      <c r="I233" s="50">
        <f t="shared" si="40"/>
        <v>0</v>
      </c>
      <c r="J233" s="57">
        <f t="shared" si="36"/>
        <v>0</v>
      </c>
      <c r="K233" s="58">
        <f t="shared" si="42"/>
        <v>0</v>
      </c>
      <c r="L233" s="51">
        <f t="shared" si="38"/>
        <v>0</v>
      </c>
      <c r="M233" s="59">
        <f t="shared" si="43"/>
        <v>0</v>
      </c>
      <c r="N233" s="41"/>
      <c r="O233" s="41"/>
      <c r="P233" s="41"/>
    </row>
    <row r="234" spans="1:16" x14ac:dyDescent="0.2">
      <c r="A234" s="306">
        <v>4015600056674</v>
      </c>
      <c r="B234" s="303" t="s">
        <v>15</v>
      </c>
      <c r="C234" s="309" t="s">
        <v>475</v>
      </c>
      <c r="D234" s="307" t="s">
        <v>162</v>
      </c>
      <c r="E234" s="489">
        <v>177.82</v>
      </c>
      <c r="F234" s="56"/>
      <c r="G234" s="264"/>
      <c r="H234" s="417">
        <f t="shared" si="41"/>
        <v>0</v>
      </c>
      <c r="I234" s="50">
        <f t="shared" si="40"/>
        <v>0</v>
      </c>
      <c r="J234" s="57">
        <f t="shared" si="36"/>
        <v>0</v>
      </c>
      <c r="K234" s="58">
        <f t="shared" si="42"/>
        <v>0</v>
      </c>
      <c r="L234" s="51">
        <f t="shared" si="38"/>
        <v>0</v>
      </c>
      <c r="M234" s="59">
        <f t="shared" si="43"/>
        <v>0</v>
      </c>
      <c r="N234" s="41"/>
      <c r="O234" s="41"/>
      <c r="P234" s="41"/>
    </row>
    <row r="235" spans="1:16" x14ac:dyDescent="0.2">
      <c r="A235" s="332">
        <v>99350187975</v>
      </c>
      <c r="B235" s="303" t="s">
        <v>15</v>
      </c>
      <c r="C235" s="309" t="s">
        <v>475</v>
      </c>
      <c r="D235" s="334" t="s">
        <v>517</v>
      </c>
      <c r="E235" s="489">
        <v>177.82</v>
      </c>
      <c r="F235" s="56"/>
      <c r="G235" s="264"/>
      <c r="H235" s="417">
        <f t="shared" si="41"/>
        <v>0</v>
      </c>
      <c r="I235" s="50">
        <f t="shared" si="40"/>
        <v>0</v>
      </c>
      <c r="J235" s="57">
        <f t="shared" si="36"/>
        <v>0</v>
      </c>
      <c r="K235" s="58">
        <f t="shared" si="42"/>
        <v>0</v>
      </c>
      <c r="L235" s="51">
        <f t="shared" si="38"/>
        <v>0</v>
      </c>
      <c r="M235" s="59">
        <f t="shared" si="43"/>
        <v>0</v>
      </c>
      <c r="N235" s="41"/>
      <c r="O235" s="41"/>
      <c r="P235" s="41"/>
    </row>
    <row r="236" spans="1:16" x14ac:dyDescent="0.2">
      <c r="A236" s="332">
        <v>99350139147</v>
      </c>
      <c r="B236" s="303" t="s">
        <v>15</v>
      </c>
      <c r="C236" s="309" t="s">
        <v>475</v>
      </c>
      <c r="D236" s="333" t="s">
        <v>570</v>
      </c>
      <c r="E236" s="489">
        <v>177.82</v>
      </c>
      <c r="F236" s="56"/>
      <c r="G236" s="264"/>
      <c r="H236" s="417">
        <f t="shared" si="41"/>
        <v>0</v>
      </c>
      <c r="I236" s="50">
        <f t="shared" si="40"/>
        <v>0</v>
      </c>
      <c r="J236" s="57">
        <f t="shared" si="36"/>
        <v>0</v>
      </c>
      <c r="K236" s="58">
        <f t="shared" si="42"/>
        <v>0</v>
      </c>
      <c r="L236" s="51">
        <f t="shared" si="38"/>
        <v>0</v>
      </c>
      <c r="M236" s="59">
        <f t="shared" si="43"/>
        <v>0</v>
      </c>
      <c r="N236" s="41"/>
      <c r="O236" s="41"/>
      <c r="P236" s="41"/>
    </row>
    <row r="237" spans="1:16" x14ac:dyDescent="0.2">
      <c r="A237" s="332">
        <v>99350139144</v>
      </c>
      <c r="B237" s="303" t="s">
        <v>15</v>
      </c>
      <c r="C237" s="309" t="s">
        <v>475</v>
      </c>
      <c r="D237" s="333" t="s">
        <v>571</v>
      </c>
      <c r="E237" s="489">
        <v>177.82</v>
      </c>
      <c r="F237" s="62"/>
      <c r="G237" s="265"/>
      <c r="H237" s="417">
        <f t="shared" si="41"/>
        <v>0</v>
      </c>
      <c r="I237" s="50">
        <f t="shared" si="40"/>
        <v>0</v>
      </c>
      <c r="J237" s="63">
        <f t="shared" si="36"/>
        <v>0</v>
      </c>
      <c r="K237" s="64">
        <f t="shared" si="42"/>
        <v>0</v>
      </c>
      <c r="L237" s="51">
        <f t="shared" si="38"/>
        <v>0</v>
      </c>
      <c r="M237" s="65">
        <f t="shared" si="43"/>
        <v>0</v>
      </c>
      <c r="N237" s="41"/>
      <c r="O237" s="41"/>
      <c r="P237" s="41"/>
    </row>
    <row r="238" spans="1:16" x14ac:dyDescent="0.2">
      <c r="A238" s="332">
        <v>99350190728</v>
      </c>
      <c r="B238" s="303" t="s">
        <v>15</v>
      </c>
      <c r="C238" s="309" t="s">
        <v>475</v>
      </c>
      <c r="D238" s="334" t="s">
        <v>523</v>
      </c>
      <c r="E238" s="489">
        <v>177.82</v>
      </c>
      <c r="F238" s="56"/>
      <c r="G238" s="264"/>
      <c r="H238" s="417">
        <f t="shared" si="41"/>
        <v>0</v>
      </c>
      <c r="I238" s="50">
        <f t="shared" si="40"/>
        <v>0</v>
      </c>
      <c r="J238" s="57">
        <f t="shared" si="36"/>
        <v>0</v>
      </c>
      <c r="K238" s="58">
        <f t="shared" si="42"/>
        <v>0</v>
      </c>
      <c r="L238" s="51">
        <f t="shared" si="38"/>
        <v>0</v>
      </c>
      <c r="M238" s="59">
        <f t="shared" si="43"/>
        <v>0</v>
      </c>
      <c r="N238" s="41"/>
      <c r="O238" s="41"/>
      <c r="P238" s="41"/>
    </row>
    <row r="239" spans="1:16" x14ac:dyDescent="0.2">
      <c r="A239" s="306">
        <v>4015600056988</v>
      </c>
      <c r="B239" s="303" t="s">
        <v>15</v>
      </c>
      <c r="C239" s="309" t="s">
        <v>475</v>
      </c>
      <c r="D239" s="307" t="s">
        <v>163</v>
      </c>
      <c r="E239" s="489">
        <v>177.82</v>
      </c>
      <c r="F239" s="56"/>
      <c r="G239" s="264"/>
      <c r="H239" s="417">
        <f t="shared" si="41"/>
        <v>0</v>
      </c>
      <c r="I239" s="50">
        <f t="shared" si="40"/>
        <v>0</v>
      </c>
      <c r="J239" s="57">
        <f t="shared" si="36"/>
        <v>0</v>
      </c>
      <c r="K239" s="58">
        <f t="shared" si="42"/>
        <v>0</v>
      </c>
      <c r="L239" s="51">
        <f t="shared" si="38"/>
        <v>0</v>
      </c>
      <c r="M239" s="59">
        <f t="shared" si="43"/>
        <v>0</v>
      </c>
      <c r="N239" s="41"/>
      <c r="O239" s="41"/>
      <c r="P239" s="41"/>
    </row>
    <row r="240" spans="1:16" x14ac:dyDescent="0.2">
      <c r="A240" s="332">
        <v>99350190724</v>
      </c>
      <c r="B240" s="303" t="s">
        <v>15</v>
      </c>
      <c r="C240" s="309" t="s">
        <v>475</v>
      </c>
      <c r="D240" s="334" t="s">
        <v>524</v>
      </c>
      <c r="E240" s="489">
        <v>177.82</v>
      </c>
      <c r="F240" s="56"/>
      <c r="G240" s="264"/>
      <c r="H240" s="417">
        <f t="shared" si="41"/>
        <v>0</v>
      </c>
      <c r="I240" s="50">
        <f t="shared" si="40"/>
        <v>0</v>
      </c>
      <c r="J240" s="57">
        <f t="shared" si="36"/>
        <v>0</v>
      </c>
      <c r="K240" s="58">
        <f t="shared" si="42"/>
        <v>0</v>
      </c>
      <c r="L240" s="51">
        <f t="shared" si="38"/>
        <v>0</v>
      </c>
      <c r="M240" s="59">
        <f t="shared" si="43"/>
        <v>0</v>
      </c>
      <c r="N240" s="41"/>
      <c r="O240" s="41"/>
      <c r="P240" s="41"/>
    </row>
    <row r="241" spans="1:16" x14ac:dyDescent="0.2">
      <c r="A241" s="306">
        <v>4015600056803</v>
      </c>
      <c r="B241" s="303" t="s">
        <v>15</v>
      </c>
      <c r="C241" s="309" t="s">
        <v>475</v>
      </c>
      <c r="D241" s="307" t="s">
        <v>164</v>
      </c>
      <c r="E241" s="489">
        <v>177.82</v>
      </c>
      <c r="F241" s="56"/>
      <c r="G241" s="264"/>
      <c r="H241" s="417">
        <f t="shared" si="41"/>
        <v>0</v>
      </c>
      <c r="I241" s="50">
        <f t="shared" si="40"/>
        <v>0</v>
      </c>
      <c r="J241" s="57">
        <f t="shared" si="36"/>
        <v>0</v>
      </c>
      <c r="K241" s="58">
        <f t="shared" si="42"/>
        <v>0</v>
      </c>
      <c r="L241" s="51">
        <f t="shared" si="38"/>
        <v>0</v>
      </c>
      <c r="M241" s="59">
        <f t="shared" si="43"/>
        <v>0</v>
      </c>
      <c r="N241" s="41"/>
      <c r="O241" s="41"/>
      <c r="P241" s="41"/>
    </row>
    <row r="242" spans="1:16" x14ac:dyDescent="0.2">
      <c r="A242" s="306">
        <v>4015600056681</v>
      </c>
      <c r="B242" s="303" t="s">
        <v>15</v>
      </c>
      <c r="C242" s="309" t="s">
        <v>475</v>
      </c>
      <c r="D242" s="307" t="s">
        <v>165</v>
      </c>
      <c r="E242" s="489">
        <v>177.82</v>
      </c>
      <c r="F242" s="56"/>
      <c r="G242" s="264"/>
      <c r="H242" s="417">
        <f t="shared" si="41"/>
        <v>0</v>
      </c>
      <c r="I242" s="50">
        <f t="shared" si="40"/>
        <v>0</v>
      </c>
      <c r="J242" s="57">
        <f t="shared" si="36"/>
        <v>0</v>
      </c>
      <c r="K242" s="58">
        <f t="shared" si="42"/>
        <v>0</v>
      </c>
      <c r="L242" s="51">
        <f t="shared" si="38"/>
        <v>0</v>
      </c>
      <c r="M242" s="59">
        <f t="shared" si="43"/>
        <v>0</v>
      </c>
      <c r="N242" s="41"/>
      <c r="O242" s="41"/>
      <c r="P242" s="41"/>
    </row>
    <row r="243" spans="1:16" x14ac:dyDescent="0.2">
      <c r="A243" s="306">
        <v>4015600056698</v>
      </c>
      <c r="B243" s="303" t="s">
        <v>15</v>
      </c>
      <c r="C243" s="309" t="s">
        <v>475</v>
      </c>
      <c r="D243" s="307" t="s">
        <v>166</v>
      </c>
      <c r="E243" s="489">
        <v>177.82</v>
      </c>
      <c r="F243" s="56"/>
      <c r="G243" s="264"/>
      <c r="H243" s="417">
        <f t="shared" si="41"/>
        <v>0</v>
      </c>
      <c r="I243" s="50">
        <f t="shared" si="40"/>
        <v>0</v>
      </c>
      <c r="J243" s="57">
        <f t="shared" si="36"/>
        <v>0</v>
      </c>
      <c r="K243" s="58">
        <f t="shared" si="42"/>
        <v>0</v>
      </c>
      <c r="L243" s="51">
        <f t="shared" si="38"/>
        <v>0</v>
      </c>
      <c r="M243" s="59">
        <f t="shared" si="43"/>
        <v>0</v>
      </c>
      <c r="N243" s="41"/>
      <c r="O243" s="41"/>
      <c r="P243" s="41"/>
    </row>
    <row r="244" spans="1:16" x14ac:dyDescent="0.2">
      <c r="A244" s="306">
        <v>4015600056711</v>
      </c>
      <c r="B244" s="303" t="s">
        <v>15</v>
      </c>
      <c r="C244" s="309" t="s">
        <v>475</v>
      </c>
      <c r="D244" s="307" t="s">
        <v>167</v>
      </c>
      <c r="E244" s="489">
        <v>177.82</v>
      </c>
      <c r="F244" s="56"/>
      <c r="G244" s="264"/>
      <c r="H244" s="417">
        <f t="shared" si="41"/>
        <v>0</v>
      </c>
      <c r="I244" s="50">
        <f t="shared" si="40"/>
        <v>0</v>
      </c>
      <c r="J244" s="57">
        <f t="shared" si="36"/>
        <v>0</v>
      </c>
      <c r="K244" s="58">
        <f t="shared" si="42"/>
        <v>0</v>
      </c>
      <c r="L244" s="51">
        <f t="shared" si="38"/>
        <v>0</v>
      </c>
      <c r="M244" s="59">
        <f t="shared" si="43"/>
        <v>0</v>
      </c>
      <c r="N244" s="41"/>
      <c r="O244" s="41"/>
      <c r="P244" s="41"/>
    </row>
    <row r="245" spans="1:16" x14ac:dyDescent="0.2">
      <c r="A245" s="332">
        <v>99350190727</v>
      </c>
      <c r="B245" s="303" t="s">
        <v>15</v>
      </c>
      <c r="C245" s="309" t="s">
        <v>475</v>
      </c>
      <c r="D245" s="334" t="s">
        <v>520</v>
      </c>
      <c r="E245" s="489">
        <v>177.82</v>
      </c>
      <c r="F245" s="56"/>
      <c r="G245" s="264"/>
      <c r="H245" s="417">
        <f t="shared" si="41"/>
        <v>0</v>
      </c>
      <c r="I245" s="50">
        <f t="shared" si="40"/>
        <v>0</v>
      </c>
      <c r="J245" s="57">
        <f t="shared" si="36"/>
        <v>0</v>
      </c>
      <c r="K245" s="58">
        <f t="shared" si="42"/>
        <v>0</v>
      </c>
      <c r="L245" s="51">
        <f t="shared" si="38"/>
        <v>0</v>
      </c>
      <c r="M245" s="59">
        <f t="shared" si="43"/>
        <v>0</v>
      </c>
      <c r="N245" s="41"/>
      <c r="O245" s="41"/>
      <c r="P245" s="41"/>
    </row>
    <row r="246" spans="1:16" x14ac:dyDescent="0.2">
      <c r="A246" s="332">
        <v>99350139146</v>
      </c>
      <c r="B246" s="303" t="s">
        <v>15</v>
      </c>
      <c r="C246" s="309" t="s">
        <v>621</v>
      </c>
      <c r="D246" s="333" t="s">
        <v>572</v>
      </c>
      <c r="E246" s="489">
        <v>177.82</v>
      </c>
      <c r="F246" s="56"/>
      <c r="G246" s="264"/>
      <c r="H246" s="417">
        <f t="shared" si="41"/>
        <v>0</v>
      </c>
      <c r="I246" s="50">
        <f t="shared" si="40"/>
        <v>0</v>
      </c>
      <c r="J246" s="57">
        <f t="shared" si="36"/>
        <v>0</v>
      </c>
      <c r="K246" s="58">
        <f t="shared" si="42"/>
        <v>0</v>
      </c>
      <c r="L246" s="51">
        <f t="shared" si="38"/>
        <v>0</v>
      </c>
      <c r="M246" s="59">
        <f t="shared" si="43"/>
        <v>0</v>
      </c>
      <c r="N246" s="41"/>
      <c r="O246" s="41"/>
      <c r="P246" s="41"/>
    </row>
    <row r="247" spans="1:16" x14ac:dyDescent="0.2">
      <c r="A247" s="332">
        <v>99240067638</v>
      </c>
      <c r="B247" s="303" t="s">
        <v>15</v>
      </c>
      <c r="C247" s="309" t="s">
        <v>475</v>
      </c>
      <c r="D247" s="333" t="s">
        <v>573</v>
      </c>
      <c r="E247" s="489">
        <v>177.82</v>
      </c>
      <c r="F247" s="56"/>
      <c r="G247" s="264"/>
      <c r="H247" s="417">
        <f t="shared" si="41"/>
        <v>0</v>
      </c>
      <c r="I247" s="50">
        <f t="shared" si="40"/>
        <v>0</v>
      </c>
      <c r="J247" s="57">
        <f t="shared" si="36"/>
        <v>0</v>
      </c>
      <c r="K247" s="58">
        <f t="shared" si="42"/>
        <v>0</v>
      </c>
      <c r="L247" s="51">
        <f t="shared" si="38"/>
        <v>0</v>
      </c>
      <c r="M247" s="59">
        <f t="shared" si="43"/>
        <v>0</v>
      </c>
      <c r="N247" s="41"/>
      <c r="O247" s="41"/>
      <c r="P247" s="41"/>
    </row>
    <row r="248" spans="1:16" x14ac:dyDescent="0.2">
      <c r="A248" s="306">
        <v>99240067642</v>
      </c>
      <c r="B248" s="303" t="s">
        <v>15</v>
      </c>
      <c r="C248" s="309" t="s">
        <v>475</v>
      </c>
      <c r="D248" s="307" t="s">
        <v>574</v>
      </c>
      <c r="E248" s="489">
        <v>177.82</v>
      </c>
      <c r="F248" s="56"/>
      <c r="G248" s="264"/>
      <c r="H248" s="417">
        <f t="shared" ref="H248:H257" si="44">(F248+G248)</f>
        <v>0</v>
      </c>
      <c r="I248" s="50">
        <f t="shared" si="40"/>
        <v>0</v>
      </c>
      <c r="J248" s="57">
        <f t="shared" ref="J248:J257" si="45">I248*$M$15</f>
        <v>0</v>
      </c>
      <c r="K248" s="58">
        <f t="shared" ref="K248:K257" si="46">I248-J248</f>
        <v>0</v>
      </c>
      <c r="L248" s="51">
        <f t="shared" ref="L248:L257" si="47">K248*$P$5</f>
        <v>0</v>
      </c>
      <c r="M248" s="59">
        <f t="shared" ref="M248:M257" si="48">K248+L248</f>
        <v>0</v>
      </c>
      <c r="N248" s="41"/>
      <c r="O248" s="41"/>
      <c r="P248" s="41"/>
    </row>
    <row r="249" spans="1:16" x14ac:dyDescent="0.2">
      <c r="A249" s="306">
        <v>8005610354361</v>
      </c>
      <c r="B249" s="303" t="s">
        <v>15</v>
      </c>
      <c r="C249" s="309" t="s">
        <v>475</v>
      </c>
      <c r="D249" s="307" t="s">
        <v>575</v>
      </c>
      <c r="E249" s="489">
        <v>177.82</v>
      </c>
      <c r="F249" s="56"/>
      <c r="G249" s="264"/>
      <c r="H249" s="417">
        <f t="shared" si="44"/>
        <v>0</v>
      </c>
      <c r="I249" s="50">
        <f t="shared" si="40"/>
        <v>0</v>
      </c>
      <c r="J249" s="57">
        <f t="shared" si="45"/>
        <v>0</v>
      </c>
      <c r="K249" s="58">
        <f t="shared" si="46"/>
        <v>0</v>
      </c>
      <c r="L249" s="51">
        <f t="shared" si="47"/>
        <v>0</v>
      </c>
      <c r="M249" s="59">
        <f t="shared" si="48"/>
        <v>0</v>
      </c>
      <c r="N249" s="41"/>
      <c r="O249" s="41"/>
      <c r="P249" s="41"/>
    </row>
    <row r="250" spans="1:16" x14ac:dyDescent="0.2">
      <c r="A250" s="306">
        <v>99350190723</v>
      </c>
      <c r="B250" s="303" t="s">
        <v>15</v>
      </c>
      <c r="C250" s="309" t="s">
        <v>475</v>
      </c>
      <c r="D250" s="307" t="s">
        <v>578</v>
      </c>
      <c r="E250" s="489">
        <v>177.82</v>
      </c>
      <c r="F250" s="56"/>
      <c r="G250" s="264"/>
      <c r="H250" s="417">
        <f>(F250+G250)</f>
        <v>0</v>
      </c>
      <c r="I250" s="50">
        <f t="shared" si="40"/>
        <v>0</v>
      </c>
      <c r="J250" s="57">
        <f>I250*$M$15</f>
        <v>0</v>
      </c>
      <c r="K250" s="58">
        <f>I250-J250</f>
        <v>0</v>
      </c>
      <c r="L250" s="51">
        <f>K250*$P$5</f>
        <v>0</v>
      </c>
      <c r="M250" s="59">
        <f>K250+L250</f>
        <v>0</v>
      </c>
      <c r="N250" s="41"/>
      <c r="O250" s="41"/>
      <c r="P250" s="41"/>
    </row>
    <row r="251" spans="1:16" x14ac:dyDescent="0.2">
      <c r="A251" s="332">
        <v>99350187981</v>
      </c>
      <c r="B251" s="303" t="s">
        <v>15</v>
      </c>
      <c r="C251" s="309" t="s">
        <v>475</v>
      </c>
      <c r="D251" s="334" t="s">
        <v>516</v>
      </c>
      <c r="E251" s="489">
        <v>177.82</v>
      </c>
      <c r="F251" s="56"/>
      <c r="G251" s="264"/>
      <c r="H251" s="417">
        <f t="shared" si="44"/>
        <v>0</v>
      </c>
      <c r="I251" s="50">
        <f t="shared" si="40"/>
        <v>0</v>
      </c>
      <c r="J251" s="57">
        <f t="shared" si="45"/>
        <v>0</v>
      </c>
      <c r="K251" s="58">
        <f t="shared" si="46"/>
        <v>0</v>
      </c>
      <c r="L251" s="51">
        <f t="shared" si="47"/>
        <v>0</v>
      </c>
      <c r="M251" s="59">
        <f t="shared" si="48"/>
        <v>0</v>
      </c>
      <c r="N251" s="41"/>
      <c r="O251" s="41"/>
      <c r="P251" s="41"/>
    </row>
    <row r="252" spans="1:16" x14ac:dyDescent="0.2">
      <c r="A252" s="332">
        <v>99350139145</v>
      </c>
      <c r="B252" s="303" t="s">
        <v>15</v>
      </c>
      <c r="C252" s="309" t="s">
        <v>475</v>
      </c>
      <c r="D252" s="333" t="s">
        <v>576</v>
      </c>
      <c r="E252" s="489">
        <v>177.82</v>
      </c>
      <c r="F252" s="56"/>
      <c r="G252" s="264"/>
      <c r="H252" s="417">
        <f t="shared" si="44"/>
        <v>0</v>
      </c>
      <c r="I252" s="50">
        <f t="shared" si="40"/>
        <v>0</v>
      </c>
      <c r="J252" s="57">
        <f t="shared" si="45"/>
        <v>0</v>
      </c>
      <c r="K252" s="58">
        <f t="shared" si="46"/>
        <v>0</v>
      </c>
      <c r="L252" s="51">
        <f t="shared" si="47"/>
        <v>0</v>
      </c>
      <c r="M252" s="59">
        <f t="shared" si="48"/>
        <v>0</v>
      </c>
      <c r="N252" s="41"/>
      <c r="O252" s="41"/>
      <c r="P252" s="41"/>
    </row>
    <row r="253" spans="1:16" x14ac:dyDescent="0.2">
      <c r="A253" s="332">
        <v>99350190722</v>
      </c>
      <c r="B253" s="303" t="s">
        <v>15</v>
      </c>
      <c r="C253" s="309" t="s">
        <v>475</v>
      </c>
      <c r="D253" s="334" t="s">
        <v>521</v>
      </c>
      <c r="E253" s="489">
        <v>177.82</v>
      </c>
      <c r="F253" s="56"/>
      <c r="G253" s="264"/>
      <c r="H253" s="417">
        <f t="shared" si="44"/>
        <v>0</v>
      </c>
      <c r="I253" s="50">
        <f t="shared" si="40"/>
        <v>0</v>
      </c>
      <c r="J253" s="57">
        <f t="shared" si="45"/>
        <v>0</v>
      </c>
      <c r="K253" s="58">
        <f t="shared" si="46"/>
        <v>0</v>
      </c>
      <c r="L253" s="51">
        <f t="shared" si="47"/>
        <v>0</v>
      </c>
      <c r="M253" s="59">
        <f t="shared" si="48"/>
        <v>0</v>
      </c>
      <c r="N253" s="41"/>
      <c r="O253" s="41"/>
      <c r="P253" s="41"/>
    </row>
    <row r="254" spans="1:16" x14ac:dyDescent="0.2">
      <c r="A254" s="306">
        <v>4015600057008</v>
      </c>
      <c r="B254" s="303" t="s">
        <v>15</v>
      </c>
      <c r="C254" s="309" t="s">
        <v>475</v>
      </c>
      <c r="D254" s="307" t="s">
        <v>168</v>
      </c>
      <c r="E254" s="489">
        <v>177.82</v>
      </c>
      <c r="F254" s="56"/>
      <c r="G254" s="264"/>
      <c r="H254" s="417">
        <f t="shared" si="44"/>
        <v>0</v>
      </c>
      <c r="I254" s="50">
        <f t="shared" si="40"/>
        <v>0</v>
      </c>
      <c r="J254" s="57">
        <f t="shared" si="45"/>
        <v>0</v>
      </c>
      <c r="K254" s="58">
        <f t="shared" si="46"/>
        <v>0</v>
      </c>
      <c r="L254" s="51">
        <f t="shared" si="47"/>
        <v>0</v>
      </c>
      <c r="M254" s="59">
        <f t="shared" si="48"/>
        <v>0</v>
      </c>
      <c r="N254" s="41"/>
      <c r="O254" s="41"/>
      <c r="P254" s="41"/>
    </row>
    <row r="255" spans="1:16" x14ac:dyDescent="0.2">
      <c r="A255" s="306">
        <v>4015600057046</v>
      </c>
      <c r="B255" s="303" t="s">
        <v>15</v>
      </c>
      <c r="C255" s="309" t="s">
        <v>475</v>
      </c>
      <c r="D255" s="307" t="s">
        <v>169</v>
      </c>
      <c r="E255" s="489">
        <v>177.82</v>
      </c>
      <c r="F255" s="56"/>
      <c r="G255" s="264"/>
      <c r="H255" s="417">
        <f t="shared" si="44"/>
        <v>0</v>
      </c>
      <c r="I255" s="50">
        <f t="shared" si="40"/>
        <v>0</v>
      </c>
      <c r="J255" s="57">
        <f t="shared" si="45"/>
        <v>0</v>
      </c>
      <c r="K255" s="58">
        <f t="shared" si="46"/>
        <v>0</v>
      </c>
      <c r="L255" s="51">
        <f t="shared" si="47"/>
        <v>0</v>
      </c>
      <c r="M255" s="59">
        <f t="shared" si="48"/>
        <v>0</v>
      </c>
      <c r="N255" s="41"/>
      <c r="O255" s="41"/>
      <c r="P255" s="41"/>
    </row>
    <row r="256" spans="1:16" x14ac:dyDescent="0.2">
      <c r="A256" s="332">
        <v>99350190725</v>
      </c>
      <c r="B256" s="303" t="s">
        <v>15</v>
      </c>
      <c r="C256" s="309" t="s">
        <v>475</v>
      </c>
      <c r="D256" s="334" t="s">
        <v>519</v>
      </c>
      <c r="E256" s="489">
        <v>177.82</v>
      </c>
      <c r="F256" s="56"/>
      <c r="G256" s="264"/>
      <c r="H256" s="417">
        <f t="shared" si="44"/>
        <v>0</v>
      </c>
      <c r="I256" s="50">
        <f t="shared" si="40"/>
        <v>0</v>
      </c>
      <c r="J256" s="57">
        <f t="shared" si="45"/>
        <v>0</v>
      </c>
      <c r="K256" s="58">
        <f t="shared" si="46"/>
        <v>0</v>
      </c>
      <c r="L256" s="51">
        <f t="shared" si="47"/>
        <v>0</v>
      </c>
      <c r="M256" s="59">
        <f t="shared" si="48"/>
        <v>0</v>
      </c>
      <c r="N256" s="41"/>
      <c r="O256" s="41"/>
      <c r="P256" s="41"/>
    </row>
    <row r="257" spans="1:16" ht="15.75" thickBot="1" x14ac:dyDescent="0.25">
      <c r="A257" s="306">
        <v>4015600057077</v>
      </c>
      <c r="B257" s="303" t="s">
        <v>15</v>
      </c>
      <c r="C257" s="309" t="s">
        <v>535</v>
      </c>
      <c r="D257" s="307" t="s">
        <v>170</v>
      </c>
      <c r="E257" s="489">
        <v>177.82</v>
      </c>
      <c r="F257" s="56"/>
      <c r="G257" s="264"/>
      <c r="H257" s="417">
        <f t="shared" si="44"/>
        <v>0</v>
      </c>
      <c r="I257" s="50">
        <f t="shared" si="40"/>
        <v>0</v>
      </c>
      <c r="J257" s="57">
        <f t="shared" si="45"/>
        <v>0</v>
      </c>
      <c r="K257" s="58">
        <f t="shared" si="46"/>
        <v>0</v>
      </c>
      <c r="L257" s="51">
        <f t="shared" si="47"/>
        <v>0</v>
      </c>
      <c r="M257" s="59">
        <f t="shared" si="48"/>
        <v>0</v>
      </c>
      <c r="N257" s="41"/>
      <c r="O257" s="41"/>
      <c r="P257" s="41"/>
    </row>
    <row r="258" spans="1:16" ht="15.75" thickBot="1" x14ac:dyDescent="0.25">
      <c r="A258" s="71"/>
      <c r="B258" s="72"/>
      <c r="C258" s="309" t="e">
        <v>#N/A</v>
      </c>
      <c r="D258" s="43" t="s">
        <v>171</v>
      </c>
      <c r="E258" s="491"/>
      <c r="F258" s="68"/>
      <c r="G258" s="266"/>
      <c r="H258" s="418"/>
      <c r="I258" s="69"/>
      <c r="J258" s="69"/>
      <c r="K258" s="69"/>
      <c r="L258" s="69"/>
      <c r="M258" s="70"/>
      <c r="N258" s="41"/>
      <c r="O258" s="41"/>
      <c r="P258" s="41"/>
    </row>
    <row r="259" spans="1:16" x14ac:dyDescent="0.2">
      <c r="A259" s="54">
        <v>4015600030766</v>
      </c>
      <c r="B259" s="10" t="s">
        <v>15</v>
      </c>
      <c r="C259" s="309" t="s">
        <v>475</v>
      </c>
      <c r="D259" s="55" t="s">
        <v>172</v>
      </c>
      <c r="E259" s="52">
        <v>177.82</v>
      </c>
      <c r="F259" s="56"/>
      <c r="G259" s="264"/>
      <c r="H259" s="417">
        <f t="shared" ref="H259:H266" si="49">(F259+G259)</f>
        <v>0</v>
      </c>
      <c r="I259" s="50">
        <f t="shared" si="40"/>
        <v>0</v>
      </c>
      <c r="J259" s="57">
        <f t="shared" ref="J259:J266" si="50">I259*$M$15</f>
        <v>0</v>
      </c>
      <c r="K259" s="58">
        <f t="shared" ref="K259:K266" si="51">I259-J259</f>
        <v>0</v>
      </c>
      <c r="L259" s="51">
        <f t="shared" si="38"/>
        <v>0</v>
      </c>
      <c r="M259" s="59">
        <f t="shared" ref="M259:M266" si="52">K259+L259</f>
        <v>0</v>
      </c>
      <c r="N259" s="41"/>
      <c r="O259" s="41"/>
      <c r="P259" s="41"/>
    </row>
    <row r="260" spans="1:16" x14ac:dyDescent="0.2">
      <c r="A260" s="54">
        <v>4015600030797</v>
      </c>
      <c r="B260" s="10" t="s">
        <v>15</v>
      </c>
      <c r="C260" s="309" t="s">
        <v>621</v>
      </c>
      <c r="D260" s="55" t="s">
        <v>173</v>
      </c>
      <c r="E260" s="52">
        <v>177.82</v>
      </c>
      <c r="F260" s="56"/>
      <c r="G260" s="264"/>
      <c r="H260" s="417">
        <f t="shared" si="49"/>
        <v>0</v>
      </c>
      <c r="I260" s="50">
        <f t="shared" si="40"/>
        <v>0</v>
      </c>
      <c r="J260" s="57">
        <f t="shared" si="50"/>
        <v>0</v>
      </c>
      <c r="K260" s="58">
        <f t="shared" si="51"/>
        <v>0</v>
      </c>
      <c r="L260" s="51">
        <f t="shared" si="38"/>
        <v>0</v>
      </c>
      <c r="M260" s="59">
        <f t="shared" si="52"/>
        <v>0</v>
      </c>
      <c r="N260" s="41"/>
      <c r="O260" s="41"/>
      <c r="P260" s="41"/>
    </row>
    <row r="261" spans="1:16" x14ac:dyDescent="0.2">
      <c r="A261" s="54">
        <v>4015600030810</v>
      </c>
      <c r="B261" s="10" t="s">
        <v>15</v>
      </c>
      <c r="C261" s="309" t="s">
        <v>475</v>
      </c>
      <c r="D261" s="55" t="s">
        <v>174</v>
      </c>
      <c r="E261" s="52">
        <v>177.82</v>
      </c>
      <c r="F261" s="56"/>
      <c r="G261" s="264"/>
      <c r="H261" s="417">
        <f t="shared" si="49"/>
        <v>0</v>
      </c>
      <c r="I261" s="50">
        <f t="shared" si="40"/>
        <v>0</v>
      </c>
      <c r="J261" s="57">
        <f t="shared" si="50"/>
        <v>0</v>
      </c>
      <c r="K261" s="58">
        <f t="shared" si="51"/>
        <v>0</v>
      </c>
      <c r="L261" s="51">
        <f t="shared" si="38"/>
        <v>0</v>
      </c>
      <c r="M261" s="59">
        <f t="shared" si="52"/>
        <v>0</v>
      </c>
      <c r="N261" s="41"/>
      <c r="O261" s="41"/>
      <c r="P261" s="41"/>
    </row>
    <row r="262" spans="1:16" x14ac:dyDescent="0.2">
      <c r="A262" s="54">
        <v>4015600030773</v>
      </c>
      <c r="B262" s="10" t="s">
        <v>15</v>
      </c>
      <c r="C262" s="309" t="s">
        <v>621</v>
      </c>
      <c r="D262" s="55" t="s">
        <v>175</v>
      </c>
      <c r="E262" s="52">
        <v>177.82</v>
      </c>
      <c r="F262" s="56"/>
      <c r="G262" s="264"/>
      <c r="H262" s="417">
        <f t="shared" si="49"/>
        <v>0</v>
      </c>
      <c r="I262" s="50">
        <f t="shared" si="40"/>
        <v>0</v>
      </c>
      <c r="J262" s="57">
        <f t="shared" si="50"/>
        <v>0</v>
      </c>
      <c r="K262" s="58">
        <f t="shared" si="51"/>
        <v>0</v>
      </c>
      <c r="L262" s="51">
        <f t="shared" si="38"/>
        <v>0</v>
      </c>
      <c r="M262" s="59">
        <f t="shared" si="52"/>
        <v>0</v>
      </c>
      <c r="N262" s="41"/>
      <c r="O262" s="41"/>
      <c r="P262" s="41"/>
    </row>
    <row r="263" spans="1:16" x14ac:dyDescent="0.2">
      <c r="A263" s="54">
        <v>4015600030827</v>
      </c>
      <c r="B263" s="10" t="s">
        <v>15</v>
      </c>
      <c r="C263" s="309" t="s">
        <v>475</v>
      </c>
      <c r="D263" s="55" t="s">
        <v>176</v>
      </c>
      <c r="E263" s="52">
        <v>177.82</v>
      </c>
      <c r="F263" s="56"/>
      <c r="G263" s="264"/>
      <c r="H263" s="417">
        <f t="shared" si="49"/>
        <v>0</v>
      </c>
      <c r="I263" s="50">
        <f t="shared" si="40"/>
        <v>0</v>
      </c>
      <c r="J263" s="57">
        <f t="shared" si="50"/>
        <v>0</v>
      </c>
      <c r="K263" s="58">
        <f t="shared" si="51"/>
        <v>0</v>
      </c>
      <c r="L263" s="51">
        <f t="shared" si="38"/>
        <v>0</v>
      </c>
      <c r="M263" s="59">
        <f t="shared" si="52"/>
        <v>0</v>
      </c>
      <c r="N263" s="41"/>
      <c r="O263" s="41"/>
      <c r="P263" s="41"/>
    </row>
    <row r="264" spans="1:16" x14ac:dyDescent="0.2">
      <c r="A264" s="54">
        <v>4015600030834</v>
      </c>
      <c r="B264" s="10" t="s">
        <v>15</v>
      </c>
      <c r="C264" s="309" t="s">
        <v>475</v>
      </c>
      <c r="D264" s="55" t="s">
        <v>177</v>
      </c>
      <c r="E264" s="52">
        <v>177.82</v>
      </c>
      <c r="F264" s="56"/>
      <c r="G264" s="264"/>
      <c r="H264" s="417">
        <f t="shared" si="49"/>
        <v>0</v>
      </c>
      <c r="I264" s="50">
        <f t="shared" si="40"/>
        <v>0</v>
      </c>
      <c r="J264" s="57">
        <f t="shared" si="50"/>
        <v>0</v>
      </c>
      <c r="K264" s="58">
        <f t="shared" si="51"/>
        <v>0</v>
      </c>
      <c r="L264" s="51">
        <f t="shared" si="38"/>
        <v>0</v>
      </c>
      <c r="M264" s="59">
        <f t="shared" si="52"/>
        <v>0</v>
      </c>
      <c r="N264" s="41"/>
      <c r="O264" s="41"/>
      <c r="P264" s="41"/>
    </row>
    <row r="265" spans="1:16" x14ac:dyDescent="0.2">
      <c r="A265" s="54">
        <v>4015600030780</v>
      </c>
      <c r="B265" s="10" t="s">
        <v>15</v>
      </c>
      <c r="C265" s="309" t="s">
        <v>475</v>
      </c>
      <c r="D265" s="55" t="s">
        <v>178</v>
      </c>
      <c r="E265" s="52">
        <v>177.82</v>
      </c>
      <c r="F265" s="56"/>
      <c r="G265" s="264"/>
      <c r="H265" s="417">
        <f t="shared" si="49"/>
        <v>0</v>
      </c>
      <c r="I265" s="50">
        <f t="shared" si="40"/>
        <v>0</v>
      </c>
      <c r="J265" s="57">
        <f t="shared" si="50"/>
        <v>0</v>
      </c>
      <c r="K265" s="58">
        <f t="shared" si="51"/>
        <v>0</v>
      </c>
      <c r="L265" s="51">
        <f t="shared" si="38"/>
        <v>0</v>
      </c>
      <c r="M265" s="59">
        <f t="shared" si="52"/>
        <v>0</v>
      </c>
      <c r="N265" s="73"/>
      <c r="O265" s="41"/>
      <c r="P265" s="41"/>
    </row>
    <row r="266" spans="1:16" ht="15.75" thickBot="1" x14ac:dyDescent="0.25">
      <c r="A266" s="60">
        <v>4015600030841</v>
      </c>
      <c r="B266" s="10" t="s">
        <v>15</v>
      </c>
      <c r="C266" s="309" t="s">
        <v>475</v>
      </c>
      <c r="D266" s="61" t="s">
        <v>179</v>
      </c>
      <c r="E266" s="52">
        <v>177.82</v>
      </c>
      <c r="F266" s="62"/>
      <c r="G266" s="265"/>
      <c r="H266" s="417">
        <f t="shared" si="49"/>
        <v>0</v>
      </c>
      <c r="I266" s="50">
        <f t="shared" si="40"/>
        <v>0</v>
      </c>
      <c r="J266" s="63">
        <f t="shared" si="50"/>
        <v>0</v>
      </c>
      <c r="K266" s="64">
        <f t="shared" si="51"/>
        <v>0</v>
      </c>
      <c r="L266" s="51">
        <f t="shared" si="38"/>
        <v>0</v>
      </c>
      <c r="M266" s="65">
        <f t="shared" si="52"/>
        <v>0</v>
      </c>
      <c r="N266" s="41"/>
      <c r="O266" s="41"/>
      <c r="P266" s="41"/>
    </row>
    <row r="267" spans="1:16" ht="15.75" thickBot="1" x14ac:dyDescent="0.25">
      <c r="A267" s="335"/>
      <c r="B267" s="336"/>
      <c r="C267" s="309" t="e">
        <v>#N/A</v>
      </c>
      <c r="D267" s="337" t="s">
        <v>19</v>
      </c>
      <c r="E267" s="492"/>
      <c r="F267" s="365"/>
      <c r="G267" s="393"/>
      <c r="H267" s="419"/>
      <c r="I267" s="419"/>
      <c r="J267" s="419"/>
      <c r="K267" s="419"/>
      <c r="L267" s="419"/>
      <c r="M267" s="419"/>
      <c r="N267" s="41"/>
      <c r="O267" s="41"/>
      <c r="P267" s="41"/>
    </row>
    <row r="268" spans="1:16" x14ac:dyDescent="0.2">
      <c r="A268" s="309">
        <v>7506309855394</v>
      </c>
      <c r="B268" s="303" t="s">
        <v>19</v>
      </c>
      <c r="C268" s="309" t="s">
        <v>475</v>
      </c>
      <c r="D268" s="310" t="s">
        <v>180</v>
      </c>
      <c r="E268" s="489">
        <v>201.03</v>
      </c>
      <c r="F268" s="49"/>
      <c r="G268" s="267"/>
      <c r="H268" s="417">
        <f t="shared" ref="H268:H300" si="53">(F268+G268)</f>
        <v>0</v>
      </c>
      <c r="I268" s="50">
        <f t="shared" si="40"/>
        <v>0</v>
      </c>
      <c r="J268" s="63">
        <f t="shared" ref="J268:J296" si="54">I268*$M$15</f>
        <v>0</v>
      </c>
      <c r="K268" s="52">
        <f t="shared" ref="K268:K296" si="55">I268-J268</f>
        <v>0</v>
      </c>
      <c r="L268" s="63">
        <f t="shared" ref="L268:L343" si="56">K268*$P$5</f>
        <v>0</v>
      </c>
      <c r="M268" s="53">
        <f t="shared" ref="M268:M296" si="57">K268+L268</f>
        <v>0</v>
      </c>
      <c r="N268" s="41"/>
      <c r="O268" s="41"/>
      <c r="P268" s="41"/>
    </row>
    <row r="269" spans="1:16" x14ac:dyDescent="0.2">
      <c r="A269" s="306">
        <v>4015600242831</v>
      </c>
      <c r="B269" s="303" t="s">
        <v>19</v>
      </c>
      <c r="C269" s="309" t="s">
        <v>475</v>
      </c>
      <c r="D269" s="307" t="s">
        <v>181</v>
      </c>
      <c r="E269" s="489">
        <v>201.03</v>
      </c>
      <c r="F269" s="56"/>
      <c r="G269" s="267"/>
      <c r="H269" s="417">
        <f t="shared" si="53"/>
        <v>0</v>
      </c>
      <c r="I269" s="50">
        <f t="shared" si="40"/>
        <v>0</v>
      </c>
      <c r="J269" s="57">
        <f t="shared" si="54"/>
        <v>0</v>
      </c>
      <c r="K269" s="58">
        <f t="shared" si="55"/>
        <v>0</v>
      </c>
      <c r="L269" s="63">
        <f t="shared" si="56"/>
        <v>0</v>
      </c>
      <c r="M269" s="59">
        <f t="shared" si="57"/>
        <v>0</v>
      </c>
      <c r="N269" s="41"/>
      <c r="O269" s="41"/>
      <c r="P269" s="41"/>
    </row>
    <row r="270" spans="1:16" x14ac:dyDescent="0.2">
      <c r="A270" s="302">
        <v>99350184695</v>
      </c>
      <c r="B270" s="303" t="s">
        <v>19</v>
      </c>
      <c r="C270" s="309" t="s">
        <v>475</v>
      </c>
      <c r="D270" s="329" t="s">
        <v>544</v>
      </c>
      <c r="E270" s="489">
        <v>201.03</v>
      </c>
      <c r="F270" s="56"/>
      <c r="G270" s="267"/>
      <c r="H270" s="417">
        <f t="shared" si="53"/>
        <v>0</v>
      </c>
      <c r="I270" s="50">
        <f t="shared" si="40"/>
        <v>0</v>
      </c>
      <c r="J270" s="57">
        <f t="shared" si="54"/>
        <v>0</v>
      </c>
      <c r="K270" s="58">
        <f t="shared" si="55"/>
        <v>0</v>
      </c>
      <c r="L270" s="63">
        <f t="shared" si="56"/>
        <v>0</v>
      </c>
      <c r="M270" s="59">
        <f t="shared" si="57"/>
        <v>0</v>
      </c>
      <c r="N270" s="41"/>
      <c r="O270" s="41"/>
      <c r="P270" s="41"/>
    </row>
    <row r="271" spans="1:16" x14ac:dyDescent="0.2">
      <c r="A271" s="306">
        <v>4015600242879</v>
      </c>
      <c r="B271" s="303" t="s">
        <v>19</v>
      </c>
      <c r="C271" s="309" t="s">
        <v>535</v>
      </c>
      <c r="D271" s="307" t="s">
        <v>182</v>
      </c>
      <c r="E271" s="489">
        <v>201.03</v>
      </c>
      <c r="F271" s="56"/>
      <c r="G271" s="267"/>
      <c r="H271" s="417">
        <f t="shared" si="53"/>
        <v>0</v>
      </c>
      <c r="I271" s="50">
        <f t="shared" si="40"/>
        <v>0</v>
      </c>
      <c r="J271" s="57">
        <f t="shared" si="54"/>
        <v>0</v>
      </c>
      <c r="K271" s="58">
        <f t="shared" si="55"/>
        <v>0</v>
      </c>
      <c r="L271" s="63">
        <f t="shared" si="56"/>
        <v>0</v>
      </c>
      <c r="M271" s="59">
        <f t="shared" si="57"/>
        <v>0</v>
      </c>
      <c r="N271" s="41"/>
      <c r="O271" s="41"/>
      <c r="P271" s="41"/>
    </row>
    <row r="272" spans="1:16" x14ac:dyDescent="0.2">
      <c r="A272" s="306">
        <v>4015600242954</v>
      </c>
      <c r="B272" s="303" t="s">
        <v>19</v>
      </c>
      <c r="C272" s="309" t="s">
        <v>475</v>
      </c>
      <c r="D272" s="307" t="s">
        <v>183</v>
      </c>
      <c r="E272" s="489">
        <v>201.03</v>
      </c>
      <c r="F272" s="56"/>
      <c r="G272" s="267"/>
      <c r="H272" s="417">
        <f t="shared" si="53"/>
        <v>0</v>
      </c>
      <c r="I272" s="50">
        <f t="shared" si="40"/>
        <v>0</v>
      </c>
      <c r="J272" s="57">
        <f t="shared" si="54"/>
        <v>0</v>
      </c>
      <c r="K272" s="58">
        <f t="shared" si="55"/>
        <v>0</v>
      </c>
      <c r="L272" s="63">
        <f t="shared" si="56"/>
        <v>0</v>
      </c>
      <c r="M272" s="59">
        <f t="shared" si="57"/>
        <v>0</v>
      </c>
      <c r="N272" s="41"/>
      <c r="O272" s="41"/>
      <c r="P272" s="41"/>
    </row>
    <row r="273" spans="1:16" x14ac:dyDescent="0.2">
      <c r="A273" s="306">
        <v>4015600243951</v>
      </c>
      <c r="B273" s="303" t="s">
        <v>19</v>
      </c>
      <c r="C273" s="309" t="s">
        <v>535</v>
      </c>
      <c r="D273" s="307" t="s">
        <v>184</v>
      </c>
      <c r="E273" s="489">
        <v>201.03</v>
      </c>
      <c r="F273" s="56"/>
      <c r="G273" s="267"/>
      <c r="H273" s="417">
        <f t="shared" si="53"/>
        <v>0</v>
      </c>
      <c r="I273" s="50">
        <f t="shared" si="40"/>
        <v>0</v>
      </c>
      <c r="J273" s="57">
        <f>I273*$M$15</f>
        <v>0</v>
      </c>
      <c r="K273" s="58">
        <f t="shared" si="55"/>
        <v>0</v>
      </c>
      <c r="L273" s="63">
        <f t="shared" si="56"/>
        <v>0</v>
      </c>
      <c r="M273" s="59">
        <f t="shared" si="57"/>
        <v>0</v>
      </c>
      <c r="N273" s="41"/>
      <c r="O273" s="41"/>
      <c r="P273" s="41"/>
    </row>
    <row r="274" spans="1:16" x14ac:dyDescent="0.2">
      <c r="A274" s="306">
        <v>7506309839387</v>
      </c>
      <c r="B274" s="303" t="s">
        <v>19</v>
      </c>
      <c r="C274" s="309" t="s">
        <v>475</v>
      </c>
      <c r="D274" s="307" t="s">
        <v>185</v>
      </c>
      <c r="E274" s="489">
        <v>201.03</v>
      </c>
      <c r="F274" s="56"/>
      <c r="G274" s="267"/>
      <c r="H274" s="417">
        <f t="shared" si="53"/>
        <v>0</v>
      </c>
      <c r="I274" s="50">
        <f t="shared" si="40"/>
        <v>0</v>
      </c>
      <c r="J274" s="57">
        <f t="shared" si="54"/>
        <v>0</v>
      </c>
      <c r="K274" s="58">
        <f t="shared" si="55"/>
        <v>0</v>
      </c>
      <c r="L274" s="63">
        <f t="shared" si="56"/>
        <v>0</v>
      </c>
      <c r="M274" s="59">
        <f t="shared" si="57"/>
        <v>0</v>
      </c>
      <c r="N274" s="41"/>
      <c r="O274" s="41"/>
      <c r="P274" s="41"/>
    </row>
    <row r="275" spans="1:16" x14ac:dyDescent="0.2">
      <c r="A275" s="306">
        <v>4015600242992</v>
      </c>
      <c r="B275" s="303" t="s">
        <v>19</v>
      </c>
      <c r="C275" s="309" t="s">
        <v>475</v>
      </c>
      <c r="D275" s="307" t="s">
        <v>186</v>
      </c>
      <c r="E275" s="489">
        <v>201.03</v>
      </c>
      <c r="F275" s="56"/>
      <c r="G275" s="267"/>
      <c r="H275" s="417">
        <f t="shared" si="53"/>
        <v>0</v>
      </c>
      <c r="I275" s="50">
        <f t="shared" si="40"/>
        <v>0</v>
      </c>
      <c r="J275" s="57">
        <f t="shared" si="54"/>
        <v>0</v>
      </c>
      <c r="K275" s="58">
        <f t="shared" si="55"/>
        <v>0</v>
      </c>
      <c r="L275" s="63">
        <f t="shared" si="56"/>
        <v>0</v>
      </c>
      <c r="M275" s="59">
        <f t="shared" si="57"/>
        <v>0</v>
      </c>
      <c r="N275" s="41"/>
      <c r="O275" s="41"/>
      <c r="P275" s="41"/>
    </row>
    <row r="276" spans="1:16" x14ac:dyDescent="0.2">
      <c r="A276" s="306">
        <v>7506309839394</v>
      </c>
      <c r="B276" s="303" t="s">
        <v>19</v>
      </c>
      <c r="C276" s="309" t="s">
        <v>475</v>
      </c>
      <c r="D276" s="307" t="s">
        <v>187</v>
      </c>
      <c r="E276" s="489">
        <v>201.03</v>
      </c>
      <c r="F276" s="56"/>
      <c r="G276" s="267"/>
      <c r="H276" s="417">
        <f t="shared" si="53"/>
        <v>0</v>
      </c>
      <c r="I276" s="50">
        <f t="shared" si="40"/>
        <v>0</v>
      </c>
      <c r="J276" s="57">
        <f t="shared" si="54"/>
        <v>0</v>
      </c>
      <c r="K276" s="58">
        <f t="shared" si="55"/>
        <v>0</v>
      </c>
      <c r="L276" s="63">
        <f t="shared" si="56"/>
        <v>0</v>
      </c>
      <c r="M276" s="59">
        <f t="shared" si="57"/>
        <v>0</v>
      </c>
      <c r="N276" s="41"/>
      <c r="O276" s="41"/>
      <c r="P276" s="41"/>
    </row>
    <row r="277" spans="1:16" x14ac:dyDescent="0.2">
      <c r="A277" s="302">
        <v>99350082565</v>
      </c>
      <c r="B277" s="303" t="s">
        <v>19</v>
      </c>
      <c r="C277" s="309" t="s">
        <v>475</v>
      </c>
      <c r="D277" s="329" t="s">
        <v>545</v>
      </c>
      <c r="E277" s="489">
        <v>201.03</v>
      </c>
      <c r="F277" s="56"/>
      <c r="G277" s="267"/>
      <c r="H277" s="417">
        <f t="shared" si="53"/>
        <v>0</v>
      </c>
      <c r="I277" s="50">
        <f t="shared" si="40"/>
        <v>0</v>
      </c>
      <c r="J277" s="57">
        <f t="shared" si="54"/>
        <v>0</v>
      </c>
      <c r="K277" s="58">
        <f t="shared" si="55"/>
        <v>0</v>
      </c>
      <c r="L277" s="63">
        <f t="shared" si="56"/>
        <v>0</v>
      </c>
      <c r="M277" s="59">
        <f t="shared" si="57"/>
        <v>0</v>
      </c>
      <c r="N277" s="41"/>
      <c r="O277" s="41"/>
      <c r="P277" s="41"/>
    </row>
    <row r="278" spans="1:16" x14ac:dyDescent="0.2">
      <c r="A278" s="302">
        <v>99350082562</v>
      </c>
      <c r="B278" s="303" t="s">
        <v>19</v>
      </c>
      <c r="C278" s="309" t="s">
        <v>535</v>
      </c>
      <c r="D278" s="329" t="s">
        <v>546</v>
      </c>
      <c r="E278" s="489">
        <v>201.03</v>
      </c>
      <c r="F278" s="56"/>
      <c r="G278" s="267"/>
      <c r="H278" s="417">
        <f t="shared" si="53"/>
        <v>0</v>
      </c>
      <c r="I278" s="50">
        <f t="shared" si="40"/>
        <v>0</v>
      </c>
      <c r="J278" s="57">
        <f t="shared" si="54"/>
        <v>0</v>
      </c>
      <c r="K278" s="58">
        <f t="shared" si="55"/>
        <v>0</v>
      </c>
      <c r="L278" s="63">
        <f t="shared" si="56"/>
        <v>0</v>
      </c>
      <c r="M278" s="59">
        <f t="shared" si="57"/>
        <v>0</v>
      </c>
      <c r="N278" s="41"/>
      <c r="O278" s="41"/>
      <c r="P278" s="41"/>
    </row>
    <row r="279" spans="1:16" x14ac:dyDescent="0.2">
      <c r="A279" s="306">
        <v>4015600243036</v>
      </c>
      <c r="B279" s="303" t="s">
        <v>19</v>
      </c>
      <c r="C279" s="309" t="s">
        <v>475</v>
      </c>
      <c r="D279" s="307" t="s">
        <v>188</v>
      </c>
      <c r="E279" s="489">
        <v>201.03</v>
      </c>
      <c r="F279" s="56"/>
      <c r="G279" s="267"/>
      <c r="H279" s="417">
        <f t="shared" si="53"/>
        <v>0</v>
      </c>
      <c r="I279" s="50">
        <f t="shared" si="40"/>
        <v>0</v>
      </c>
      <c r="J279" s="57">
        <f t="shared" si="54"/>
        <v>0</v>
      </c>
      <c r="K279" s="58">
        <f t="shared" si="55"/>
        <v>0</v>
      </c>
      <c r="L279" s="63">
        <f t="shared" si="56"/>
        <v>0</v>
      </c>
      <c r="M279" s="59">
        <f t="shared" si="57"/>
        <v>0</v>
      </c>
      <c r="N279" s="41"/>
      <c r="O279" s="41"/>
      <c r="P279" s="41"/>
    </row>
    <row r="280" spans="1:16" x14ac:dyDescent="0.2">
      <c r="A280" s="306">
        <v>4015600243241</v>
      </c>
      <c r="B280" s="303" t="s">
        <v>19</v>
      </c>
      <c r="C280" s="309" t="s">
        <v>475</v>
      </c>
      <c r="D280" s="307" t="s">
        <v>189</v>
      </c>
      <c r="E280" s="489">
        <v>201.03</v>
      </c>
      <c r="F280" s="56"/>
      <c r="G280" s="267"/>
      <c r="H280" s="417">
        <f t="shared" si="53"/>
        <v>0</v>
      </c>
      <c r="I280" s="50">
        <f t="shared" si="40"/>
        <v>0</v>
      </c>
      <c r="J280" s="57">
        <f t="shared" si="54"/>
        <v>0</v>
      </c>
      <c r="K280" s="58">
        <f t="shared" si="55"/>
        <v>0</v>
      </c>
      <c r="L280" s="63">
        <f t="shared" si="56"/>
        <v>0</v>
      </c>
      <c r="M280" s="59">
        <f t="shared" si="57"/>
        <v>0</v>
      </c>
      <c r="N280" s="41"/>
      <c r="O280" s="41"/>
      <c r="P280" s="41"/>
    </row>
    <row r="281" spans="1:16" x14ac:dyDescent="0.2">
      <c r="A281" s="306">
        <v>4015600243289</v>
      </c>
      <c r="B281" s="303" t="s">
        <v>19</v>
      </c>
      <c r="C281" s="309" t="s">
        <v>475</v>
      </c>
      <c r="D281" s="307" t="s">
        <v>190</v>
      </c>
      <c r="E281" s="489">
        <v>201.03</v>
      </c>
      <c r="F281" s="56"/>
      <c r="G281" s="267"/>
      <c r="H281" s="417">
        <f t="shared" si="53"/>
        <v>0</v>
      </c>
      <c r="I281" s="50">
        <f t="shared" si="40"/>
        <v>0</v>
      </c>
      <c r="J281" s="57">
        <f t="shared" si="54"/>
        <v>0</v>
      </c>
      <c r="K281" s="58">
        <f t="shared" si="55"/>
        <v>0</v>
      </c>
      <c r="L281" s="63">
        <f t="shared" si="56"/>
        <v>0</v>
      </c>
      <c r="M281" s="59">
        <f t="shared" si="57"/>
        <v>0</v>
      </c>
      <c r="N281" s="41"/>
      <c r="O281" s="41"/>
      <c r="P281" s="41"/>
    </row>
    <row r="282" spans="1:16" hidden="1" x14ac:dyDescent="0.2">
      <c r="A282" s="306">
        <v>4015600243074</v>
      </c>
      <c r="B282" s="303" t="s">
        <v>19</v>
      </c>
      <c r="C282" s="309" t="s">
        <v>535</v>
      </c>
      <c r="D282" s="307" t="s">
        <v>194</v>
      </c>
      <c r="E282" s="489">
        <v>201.03</v>
      </c>
      <c r="F282" s="56"/>
      <c r="G282" s="267"/>
      <c r="H282" s="417">
        <f t="shared" si="53"/>
        <v>0</v>
      </c>
      <c r="I282" s="50">
        <f t="shared" si="40"/>
        <v>0</v>
      </c>
      <c r="J282" s="57">
        <f t="shared" si="54"/>
        <v>0</v>
      </c>
      <c r="K282" s="58">
        <f t="shared" si="55"/>
        <v>0</v>
      </c>
      <c r="L282" s="63">
        <f t="shared" si="56"/>
        <v>0</v>
      </c>
      <c r="M282" s="59">
        <f t="shared" si="57"/>
        <v>0</v>
      </c>
      <c r="N282" s="41"/>
      <c r="O282" s="41"/>
      <c r="P282" s="41"/>
    </row>
    <row r="283" spans="1:16" x14ac:dyDescent="0.2">
      <c r="A283" s="306">
        <v>4015600243159</v>
      </c>
      <c r="B283" s="303" t="s">
        <v>19</v>
      </c>
      <c r="C283" s="309" t="s">
        <v>475</v>
      </c>
      <c r="D283" s="307" t="s">
        <v>195</v>
      </c>
      <c r="E283" s="489">
        <v>201.03</v>
      </c>
      <c r="F283" s="56"/>
      <c r="G283" s="267"/>
      <c r="H283" s="417">
        <f t="shared" si="53"/>
        <v>0</v>
      </c>
      <c r="I283" s="50">
        <f t="shared" si="40"/>
        <v>0</v>
      </c>
      <c r="J283" s="57">
        <f t="shared" si="54"/>
        <v>0</v>
      </c>
      <c r="K283" s="58">
        <f t="shared" si="55"/>
        <v>0</v>
      </c>
      <c r="L283" s="63">
        <f t="shared" si="56"/>
        <v>0</v>
      </c>
      <c r="M283" s="59">
        <f t="shared" si="57"/>
        <v>0</v>
      </c>
      <c r="N283" s="41"/>
      <c r="O283" s="41"/>
      <c r="P283" s="41"/>
    </row>
    <row r="284" spans="1:16" x14ac:dyDescent="0.2">
      <c r="A284" s="302">
        <v>99350184693</v>
      </c>
      <c r="B284" s="303" t="s">
        <v>19</v>
      </c>
      <c r="C284" s="309" t="s">
        <v>475</v>
      </c>
      <c r="D284" s="329" t="s">
        <v>547</v>
      </c>
      <c r="E284" s="489">
        <v>201.03</v>
      </c>
      <c r="F284" s="56"/>
      <c r="G284" s="267"/>
      <c r="H284" s="417">
        <f t="shared" si="53"/>
        <v>0</v>
      </c>
      <c r="I284" s="50">
        <f t="shared" si="40"/>
        <v>0</v>
      </c>
      <c r="J284" s="57">
        <f t="shared" si="54"/>
        <v>0</v>
      </c>
      <c r="K284" s="58">
        <f t="shared" si="55"/>
        <v>0</v>
      </c>
      <c r="L284" s="63">
        <f t="shared" si="56"/>
        <v>0</v>
      </c>
      <c r="M284" s="59">
        <f t="shared" si="57"/>
        <v>0</v>
      </c>
      <c r="N284" s="41"/>
      <c r="O284" s="41"/>
      <c r="P284" s="41"/>
    </row>
    <row r="285" spans="1:16" x14ac:dyDescent="0.2">
      <c r="A285" s="306">
        <v>4015600243111</v>
      </c>
      <c r="B285" s="303" t="s">
        <v>19</v>
      </c>
      <c r="C285" s="309" t="s">
        <v>475</v>
      </c>
      <c r="D285" s="307" t="s">
        <v>196</v>
      </c>
      <c r="E285" s="489">
        <v>201.03</v>
      </c>
      <c r="F285" s="56"/>
      <c r="G285" s="267"/>
      <c r="H285" s="417">
        <f t="shared" si="53"/>
        <v>0</v>
      </c>
      <c r="I285" s="50">
        <f t="shared" si="40"/>
        <v>0</v>
      </c>
      <c r="J285" s="57">
        <f t="shared" si="54"/>
        <v>0</v>
      </c>
      <c r="K285" s="58">
        <f t="shared" si="55"/>
        <v>0</v>
      </c>
      <c r="L285" s="63">
        <f t="shared" si="56"/>
        <v>0</v>
      </c>
      <c r="M285" s="59">
        <f t="shared" si="57"/>
        <v>0</v>
      </c>
      <c r="N285" s="41"/>
      <c r="O285" s="41"/>
      <c r="P285" s="41"/>
    </row>
    <row r="286" spans="1:16" x14ac:dyDescent="0.2">
      <c r="A286" s="302">
        <v>99350186919</v>
      </c>
      <c r="B286" s="303" t="s">
        <v>19</v>
      </c>
      <c r="C286" s="309" t="s">
        <v>475</v>
      </c>
      <c r="D286" s="329" t="s">
        <v>548</v>
      </c>
      <c r="E286" s="489">
        <v>201.03</v>
      </c>
      <c r="F286" s="56"/>
      <c r="G286" s="267"/>
      <c r="H286" s="417">
        <f t="shared" si="53"/>
        <v>0</v>
      </c>
      <c r="I286" s="50">
        <f t="shared" ref="I286:I349" si="58">IF(C286="Faltante",0,E286*F286)</f>
        <v>0</v>
      </c>
      <c r="J286" s="57">
        <f t="shared" si="54"/>
        <v>0</v>
      </c>
      <c r="K286" s="58">
        <f t="shared" si="55"/>
        <v>0</v>
      </c>
      <c r="L286" s="63">
        <f t="shared" si="56"/>
        <v>0</v>
      </c>
      <c r="M286" s="59">
        <f t="shared" si="57"/>
        <v>0</v>
      </c>
      <c r="N286" s="41"/>
      <c r="O286" s="41"/>
      <c r="P286" s="41"/>
    </row>
    <row r="287" spans="1:16" x14ac:dyDescent="0.2">
      <c r="A287" s="306">
        <v>4015600243203</v>
      </c>
      <c r="B287" s="303" t="s">
        <v>19</v>
      </c>
      <c r="C287" s="309" t="s">
        <v>475</v>
      </c>
      <c r="D287" s="307" t="s">
        <v>197</v>
      </c>
      <c r="E287" s="489">
        <v>201.03</v>
      </c>
      <c r="F287" s="56"/>
      <c r="G287" s="267"/>
      <c r="H287" s="417">
        <f t="shared" si="53"/>
        <v>0</v>
      </c>
      <c r="I287" s="50">
        <f t="shared" si="58"/>
        <v>0</v>
      </c>
      <c r="J287" s="57">
        <f t="shared" si="54"/>
        <v>0</v>
      </c>
      <c r="K287" s="58">
        <f t="shared" si="55"/>
        <v>0</v>
      </c>
      <c r="L287" s="63">
        <f t="shared" si="56"/>
        <v>0</v>
      </c>
      <c r="M287" s="59">
        <f t="shared" si="57"/>
        <v>0</v>
      </c>
      <c r="N287" s="41"/>
      <c r="O287" s="41"/>
      <c r="P287" s="41"/>
    </row>
    <row r="288" spans="1:16" x14ac:dyDescent="0.2">
      <c r="A288" s="302">
        <v>99350184687</v>
      </c>
      <c r="B288" s="303" t="s">
        <v>19</v>
      </c>
      <c r="C288" s="309" t="s">
        <v>475</v>
      </c>
      <c r="D288" s="329" t="s">
        <v>549</v>
      </c>
      <c r="E288" s="489">
        <v>201.03</v>
      </c>
      <c r="F288" s="56"/>
      <c r="G288" s="267"/>
      <c r="H288" s="417">
        <f t="shared" si="53"/>
        <v>0</v>
      </c>
      <c r="I288" s="50">
        <f t="shared" si="58"/>
        <v>0</v>
      </c>
      <c r="J288" s="57">
        <f t="shared" si="54"/>
        <v>0</v>
      </c>
      <c r="K288" s="58">
        <f t="shared" si="55"/>
        <v>0</v>
      </c>
      <c r="L288" s="63">
        <f t="shared" si="56"/>
        <v>0</v>
      </c>
      <c r="M288" s="59">
        <f t="shared" si="57"/>
        <v>0</v>
      </c>
      <c r="N288" s="41"/>
      <c r="O288" s="41"/>
      <c r="P288" s="41"/>
    </row>
    <row r="289" spans="1:16" x14ac:dyDescent="0.2">
      <c r="A289" s="306">
        <v>4015600243333</v>
      </c>
      <c r="B289" s="303" t="s">
        <v>19</v>
      </c>
      <c r="C289" s="309" t="s">
        <v>475</v>
      </c>
      <c r="D289" s="307" t="s">
        <v>191</v>
      </c>
      <c r="E289" s="489">
        <v>201.03</v>
      </c>
      <c r="F289" s="56"/>
      <c r="G289" s="267"/>
      <c r="H289" s="417">
        <f t="shared" si="53"/>
        <v>0</v>
      </c>
      <c r="I289" s="50">
        <f t="shared" si="58"/>
        <v>0</v>
      </c>
      <c r="J289" s="57">
        <f t="shared" si="54"/>
        <v>0</v>
      </c>
      <c r="K289" s="58">
        <f t="shared" si="55"/>
        <v>0</v>
      </c>
      <c r="L289" s="63">
        <f t="shared" si="56"/>
        <v>0</v>
      </c>
      <c r="M289" s="59">
        <f t="shared" si="57"/>
        <v>0</v>
      </c>
      <c r="N289" s="41"/>
      <c r="O289" s="41"/>
      <c r="P289" s="41"/>
    </row>
    <row r="290" spans="1:16" x14ac:dyDescent="0.2">
      <c r="A290" s="306">
        <v>7506309855400</v>
      </c>
      <c r="B290" s="303" t="s">
        <v>19</v>
      </c>
      <c r="C290" s="309" t="s">
        <v>475</v>
      </c>
      <c r="D290" s="307" t="s">
        <v>198</v>
      </c>
      <c r="E290" s="489">
        <v>201.03</v>
      </c>
      <c r="F290" s="56"/>
      <c r="G290" s="267"/>
      <c r="H290" s="417">
        <f t="shared" si="53"/>
        <v>0</v>
      </c>
      <c r="I290" s="50">
        <f t="shared" si="58"/>
        <v>0</v>
      </c>
      <c r="J290" s="57">
        <f t="shared" si="54"/>
        <v>0</v>
      </c>
      <c r="K290" s="58">
        <f t="shared" si="55"/>
        <v>0</v>
      </c>
      <c r="L290" s="63">
        <f t="shared" si="56"/>
        <v>0</v>
      </c>
      <c r="M290" s="59">
        <f t="shared" si="57"/>
        <v>0</v>
      </c>
      <c r="N290" s="41"/>
      <c r="O290" s="41"/>
      <c r="P290" s="41"/>
    </row>
    <row r="291" spans="1:16" x14ac:dyDescent="0.2">
      <c r="A291" s="306">
        <v>4015600243388</v>
      </c>
      <c r="B291" s="303" t="s">
        <v>19</v>
      </c>
      <c r="C291" s="309" t="s">
        <v>475</v>
      </c>
      <c r="D291" s="307" t="s">
        <v>199</v>
      </c>
      <c r="E291" s="489">
        <v>201.03</v>
      </c>
      <c r="F291" s="56"/>
      <c r="G291" s="267"/>
      <c r="H291" s="417">
        <f t="shared" si="53"/>
        <v>0</v>
      </c>
      <c r="I291" s="50">
        <f t="shared" si="58"/>
        <v>0</v>
      </c>
      <c r="J291" s="57">
        <f t="shared" si="54"/>
        <v>0</v>
      </c>
      <c r="K291" s="58">
        <f t="shared" si="55"/>
        <v>0</v>
      </c>
      <c r="L291" s="63">
        <f t="shared" si="56"/>
        <v>0</v>
      </c>
      <c r="M291" s="59">
        <f t="shared" si="57"/>
        <v>0</v>
      </c>
      <c r="N291" s="41"/>
      <c r="O291" s="41"/>
      <c r="P291" s="41"/>
    </row>
    <row r="292" spans="1:16" x14ac:dyDescent="0.2">
      <c r="A292" s="302">
        <v>99350184694</v>
      </c>
      <c r="B292" s="303" t="s">
        <v>19</v>
      </c>
      <c r="C292" s="309" t="s">
        <v>475</v>
      </c>
      <c r="D292" s="329" t="s">
        <v>550</v>
      </c>
      <c r="E292" s="489">
        <v>201.03</v>
      </c>
      <c r="F292" s="56"/>
      <c r="G292" s="267"/>
      <c r="H292" s="417">
        <f t="shared" si="53"/>
        <v>0</v>
      </c>
      <c r="I292" s="50">
        <f t="shared" si="58"/>
        <v>0</v>
      </c>
      <c r="J292" s="57">
        <f t="shared" si="54"/>
        <v>0</v>
      </c>
      <c r="K292" s="58">
        <f t="shared" si="55"/>
        <v>0</v>
      </c>
      <c r="L292" s="63">
        <f t="shared" si="56"/>
        <v>0</v>
      </c>
      <c r="M292" s="59">
        <f t="shared" si="57"/>
        <v>0</v>
      </c>
      <c r="N292" s="41"/>
      <c r="O292" s="41"/>
      <c r="P292" s="41"/>
    </row>
    <row r="293" spans="1:16" x14ac:dyDescent="0.2">
      <c r="A293" s="302">
        <v>99350184688</v>
      </c>
      <c r="B293" s="303" t="s">
        <v>19</v>
      </c>
      <c r="C293" s="309" t="s">
        <v>475</v>
      </c>
      <c r="D293" s="329" t="s">
        <v>551</v>
      </c>
      <c r="E293" s="489">
        <v>201.03</v>
      </c>
      <c r="F293" s="56"/>
      <c r="G293" s="267"/>
      <c r="H293" s="417">
        <f t="shared" si="53"/>
        <v>0</v>
      </c>
      <c r="I293" s="50">
        <f t="shared" si="58"/>
        <v>0</v>
      </c>
      <c r="J293" s="57">
        <f t="shared" si="54"/>
        <v>0</v>
      </c>
      <c r="K293" s="58">
        <f t="shared" si="55"/>
        <v>0</v>
      </c>
      <c r="L293" s="63">
        <f t="shared" si="56"/>
        <v>0</v>
      </c>
      <c r="M293" s="59">
        <f t="shared" si="57"/>
        <v>0</v>
      </c>
      <c r="N293" s="41"/>
      <c r="O293" s="41"/>
      <c r="P293" s="41"/>
    </row>
    <row r="294" spans="1:16" x14ac:dyDescent="0.2">
      <c r="A294" s="306">
        <v>7506309855424</v>
      </c>
      <c r="B294" s="303" t="s">
        <v>19</v>
      </c>
      <c r="C294" s="309" t="s">
        <v>475</v>
      </c>
      <c r="D294" s="307" t="s">
        <v>200</v>
      </c>
      <c r="E294" s="489">
        <v>201.03</v>
      </c>
      <c r="F294" s="56"/>
      <c r="G294" s="267"/>
      <c r="H294" s="417">
        <f t="shared" si="53"/>
        <v>0</v>
      </c>
      <c r="I294" s="50">
        <f t="shared" si="58"/>
        <v>0</v>
      </c>
      <c r="J294" s="57">
        <f t="shared" si="54"/>
        <v>0</v>
      </c>
      <c r="K294" s="58">
        <f t="shared" si="55"/>
        <v>0</v>
      </c>
      <c r="L294" s="63">
        <f t="shared" si="56"/>
        <v>0</v>
      </c>
      <c r="M294" s="59">
        <f t="shared" si="57"/>
        <v>0</v>
      </c>
      <c r="N294" s="41"/>
      <c r="O294" s="41"/>
      <c r="P294" s="41"/>
    </row>
    <row r="295" spans="1:16" x14ac:dyDescent="0.2">
      <c r="A295" s="306">
        <v>7506309839417</v>
      </c>
      <c r="B295" s="303" t="s">
        <v>19</v>
      </c>
      <c r="C295" s="309" t="s">
        <v>475</v>
      </c>
      <c r="D295" s="307" t="s">
        <v>201</v>
      </c>
      <c r="E295" s="489">
        <v>201.03</v>
      </c>
      <c r="F295" s="56"/>
      <c r="G295" s="267"/>
      <c r="H295" s="417">
        <f t="shared" si="53"/>
        <v>0</v>
      </c>
      <c r="I295" s="50">
        <f t="shared" si="58"/>
        <v>0</v>
      </c>
      <c r="J295" s="57">
        <f t="shared" si="54"/>
        <v>0</v>
      </c>
      <c r="K295" s="58">
        <f t="shared" si="55"/>
        <v>0</v>
      </c>
      <c r="L295" s="63">
        <f t="shared" si="56"/>
        <v>0</v>
      </c>
      <c r="M295" s="59">
        <f t="shared" si="57"/>
        <v>0</v>
      </c>
      <c r="N295" s="41"/>
      <c r="O295" s="41"/>
      <c r="P295" s="41"/>
    </row>
    <row r="296" spans="1:16" x14ac:dyDescent="0.2">
      <c r="A296" s="306">
        <v>4015600243470</v>
      </c>
      <c r="B296" s="303" t="s">
        <v>19</v>
      </c>
      <c r="C296" s="309" t="s">
        <v>475</v>
      </c>
      <c r="D296" s="307" t="s">
        <v>192</v>
      </c>
      <c r="E296" s="489">
        <v>201.03</v>
      </c>
      <c r="F296" s="56"/>
      <c r="G296" s="267"/>
      <c r="H296" s="417">
        <f t="shared" si="53"/>
        <v>0</v>
      </c>
      <c r="I296" s="50">
        <f t="shared" si="58"/>
        <v>0</v>
      </c>
      <c r="J296" s="57">
        <f t="shared" si="54"/>
        <v>0</v>
      </c>
      <c r="K296" s="58">
        <f t="shared" si="55"/>
        <v>0</v>
      </c>
      <c r="L296" s="63">
        <f t="shared" si="56"/>
        <v>0</v>
      </c>
      <c r="M296" s="59">
        <f t="shared" si="57"/>
        <v>0</v>
      </c>
      <c r="N296" s="41"/>
      <c r="O296" s="41"/>
      <c r="P296" s="41"/>
    </row>
    <row r="297" spans="1:16" x14ac:dyDescent="0.2">
      <c r="A297" s="306">
        <v>7506309839400</v>
      </c>
      <c r="B297" s="303" t="s">
        <v>19</v>
      </c>
      <c r="C297" s="309" t="s">
        <v>475</v>
      </c>
      <c r="D297" s="307" t="s">
        <v>202</v>
      </c>
      <c r="E297" s="489">
        <v>201.03</v>
      </c>
      <c r="F297" s="62"/>
      <c r="G297" s="267"/>
      <c r="H297" s="417">
        <f t="shared" si="53"/>
        <v>0</v>
      </c>
      <c r="I297" s="50">
        <f t="shared" si="58"/>
        <v>0</v>
      </c>
      <c r="J297" s="63">
        <f>I297*$M$15</f>
        <v>0</v>
      </c>
      <c r="K297" s="64">
        <f>I297-J297</f>
        <v>0</v>
      </c>
      <c r="L297" s="63">
        <f t="shared" si="56"/>
        <v>0</v>
      </c>
      <c r="M297" s="65">
        <f>K297+L297</f>
        <v>0</v>
      </c>
      <c r="N297" s="41"/>
      <c r="O297" s="41"/>
      <c r="P297" s="41"/>
    </row>
    <row r="298" spans="1:16" x14ac:dyDescent="0.2">
      <c r="A298" s="302">
        <v>99350184691</v>
      </c>
      <c r="B298" s="303" t="s">
        <v>19</v>
      </c>
      <c r="C298" s="309" t="s">
        <v>475</v>
      </c>
      <c r="D298" s="329" t="s">
        <v>552</v>
      </c>
      <c r="E298" s="489">
        <v>201.03</v>
      </c>
      <c r="F298" s="62"/>
      <c r="G298" s="267"/>
      <c r="H298" s="417">
        <f t="shared" si="53"/>
        <v>0</v>
      </c>
      <c r="I298" s="50">
        <f t="shared" si="58"/>
        <v>0</v>
      </c>
      <c r="J298" s="63">
        <f>I298*$M$15</f>
        <v>0</v>
      </c>
      <c r="K298" s="64">
        <f>I298-J298</f>
        <v>0</v>
      </c>
      <c r="L298" s="63">
        <f t="shared" si="56"/>
        <v>0</v>
      </c>
      <c r="M298" s="65">
        <f>K298+L298</f>
        <v>0</v>
      </c>
      <c r="N298" s="41"/>
      <c r="O298" s="41"/>
      <c r="P298" s="41"/>
    </row>
    <row r="299" spans="1:16" x14ac:dyDescent="0.2">
      <c r="A299" s="302">
        <v>99350184689</v>
      </c>
      <c r="B299" s="303" t="s">
        <v>19</v>
      </c>
      <c r="C299" s="309" t="s">
        <v>475</v>
      </c>
      <c r="D299" s="329" t="s">
        <v>553</v>
      </c>
      <c r="E299" s="489">
        <v>201.03</v>
      </c>
      <c r="F299" s="62"/>
      <c r="G299" s="267"/>
      <c r="H299" s="417">
        <f t="shared" si="53"/>
        <v>0</v>
      </c>
      <c r="I299" s="50">
        <f t="shared" si="58"/>
        <v>0</v>
      </c>
      <c r="J299" s="63">
        <f>I299*$M$15</f>
        <v>0</v>
      </c>
      <c r="K299" s="64">
        <f>I299-J299</f>
        <v>0</v>
      </c>
      <c r="L299" s="63">
        <f t="shared" si="56"/>
        <v>0</v>
      </c>
      <c r="M299" s="65">
        <f>K299+L299</f>
        <v>0</v>
      </c>
      <c r="N299" s="41"/>
      <c r="O299" s="41"/>
      <c r="P299" s="41"/>
    </row>
    <row r="300" spans="1:16" x14ac:dyDescent="0.2">
      <c r="A300" s="306">
        <v>7506309839431</v>
      </c>
      <c r="B300" s="303" t="s">
        <v>19</v>
      </c>
      <c r="C300" s="309" t="s">
        <v>475</v>
      </c>
      <c r="D300" s="307" t="s">
        <v>203</v>
      </c>
      <c r="E300" s="489">
        <v>201.03</v>
      </c>
      <c r="F300" s="62"/>
      <c r="G300" s="267"/>
      <c r="H300" s="417">
        <f t="shared" si="53"/>
        <v>0</v>
      </c>
      <c r="I300" s="50">
        <f t="shared" si="58"/>
        <v>0</v>
      </c>
      <c r="J300" s="63">
        <f>I300*$M$15</f>
        <v>0</v>
      </c>
      <c r="K300" s="64">
        <f>I300-J300</f>
        <v>0</v>
      </c>
      <c r="L300" s="63">
        <f t="shared" si="56"/>
        <v>0</v>
      </c>
      <c r="M300" s="65">
        <f>K300+L300</f>
        <v>0</v>
      </c>
      <c r="N300" s="41"/>
      <c r="O300" s="41"/>
      <c r="P300" s="41"/>
    </row>
    <row r="301" spans="1:16" x14ac:dyDescent="0.2">
      <c r="A301" s="302">
        <v>99350184692</v>
      </c>
      <c r="B301" s="303" t="s">
        <v>19</v>
      </c>
      <c r="C301" s="309" t="s">
        <v>475</v>
      </c>
      <c r="D301" s="329" t="s">
        <v>554</v>
      </c>
      <c r="E301" s="489">
        <v>201.03</v>
      </c>
      <c r="F301" s="62"/>
      <c r="G301" s="267"/>
      <c r="H301" s="417">
        <f t="shared" ref="H301:H312" si="59">(F301+G301)</f>
        <v>0</v>
      </c>
      <c r="I301" s="50">
        <f t="shared" si="58"/>
        <v>0</v>
      </c>
      <c r="J301" s="63">
        <f t="shared" ref="J301:J312" si="60">I301*$M$15</f>
        <v>0</v>
      </c>
      <c r="K301" s="64">
        <f t="shared" ref="K301:K312" si="61">I301-J301</f>
        <v>0</v>
      </c>
      <c r="L301" s="63">
        <f t="shared" si="56"/>
        <v>0</v>
      </c>
      <c r="M301" s="65">
        <f t="shared" ref="M301:M312" si="62">K301+L301</f>
        <v>0</v>
      </c>
      <c r="N301" s="41"/>
      <c r="O301" s="41"/>
      <c r="P301" s="41"/>
    </row>
    <row r="302" spans="1:16" x14ac:dyDescent="0.2">
      <c r="A302" s="306">
        <v>4015600243432</v>
      </c>
      <c r="B302" s="303" t="s">
        <v>19</v>
      </c>
      <c r="C302" s="309" t="s">
        <v>475</v>
      </c>
      <c r="D302" s="307" t="s">
        <v>204</v>
      </c>
      <c r="E302" s="489">
        <v>201.03</v>
      </c>
      <c r="F302" s="62"/>
      <c r="G302" s="267"/>
      <c r="H302" s="417">
        <f t="shared" si="59"/>
        <v>0</v>
      </c>
      <c r="I302" s="50">
        <f t="shared" si="58"/>
        <v>0</v>
      </c>
      <c r="J302" s="63">
        <f t="shared" si="60"/>
        <v>0</v>
      </c>
      <c r="K302" s="64">
        <f t="shared" si="61"/>
        <v>0</v>
      </c>
      <c r="L302" s="63">
        <f t="shared" si="56"/>
        <v>0</v>
      </c>
      <c r="M302" s="65">
        <f t="shared" si="62"/>
        <v>0</v>
      </c>
      <c r="N302" s="41"/>
      <c r="O302" s="41"/>
      <c r="P302" s="41"/>
    </row>
    <row r="303" spans="1:16" x14ac:dyDescent="0.2">
      <c r="A303" s="306">
        <v>4015600243517</v>
      </c>
      <c r="B303" s="303" t="s">
        <v>19</v>
      </c>
      <c r="C303" s="309" t="s">
        <v>475</v>
      </c>
      <c r="D303" s="307" t="s">
        <v>205</v>
      </c>
      <c r="E303" s="489">
        <v>201.03</v>
      </c>
      <c r="F303" s="62"/>
      <c r="G303" s="267"/>
      <c r="H303" s="417">
        <f t="shared" si="59"/>
        <v>0</v>
      </c>
      <c r="I303" s="50">
        <f t="shared" si="58"/>
        <v>0</v>
      </c>
      <c r="J303" s="63">
        <f t="shared" si="60"/>
        <v>0</v>
      </c>
      <c r="K303" s="64">
        <f t="shared" si="61"/>
        <v>0</v>
      </c>
      <c r="L303" s="63">
        <f t="shared" si="56"/>
        <v>0</v>
      </c>
      <c r="M303" s="65">
        <f t="shared" si="62"/>
        <v>0</v>
      </c>
      <c r="N303" s="41"/>
      <c r="O303" s="41"/>
      <c r="P303" s="41"/>
    </row>
    <row r="304" spans="1:16" x14ac:dyDescent="0.2">
      <c r="A304" s="306">
        <v>4015600243555</v>
      </c>
      <c r="B304" s="303" t="s">
        <v>19</v>
      </c>
      <c r="C304" s="309" t="s">
        <v>475</v>
      </c>
      <c r="D304" s="307" t="s">
        <v>193</v>
      </c>
      <c r="E304" s="489">
        <v>201.03</v>
      </c>
      <c r="F304" s="62"/>
      <c r="G304" s="267"/>
      <c r="H304" s="417">
        <f t="shared" si="59"/>
        <v>0</v>
      </c>
      <c r="I304" s="50">
        <f t="shared" si="58"/>
        <v>0</v>
      </c>
      <c r="J304" s="63">
        <f t="shared" si="60"/>
        <v>0</v>
      </c>
      <c r="K304" s="64">
        <f t="shared" si="61"/>
        <v>0</v>
      </c>
      <c r="L304" s="63">
        <f t="shared" si="56"/>
        <v>0</v>
      </c>
      <c r="M304" s="65">
        <f t="shared" si="62"/>
        <v>0</v>
      </c>
      <c r="N304" s="41"/>
      <c r="O304" s="41"/>
      <c r="P304" s="41"/>
    </row>
    <row r="305" spans="1:16" x14ac:dyDescent="0.2">
      <c r="A305" s="306">
        <v>4015600243593</v>
      </c>
      <c r="B305" s="303" t="s">
        <v>19</v>
      </c>
      <c r="C305" s="309" t="s">
        <v>475</v>
      </c>
      <c r="D305" s="307" t="s">
        <v>206</v>
      </c>
      <c r="E305" s="489">
        <v>201.03</v>
      </c>
      <c r="F305" s="62"/>
      <c r="G305" s="267"/>
      <c r="H305" s="417">
        <f t="shared" si="59"/>
        <v>0</v>
      </c>
      <c r="I305" s="50">
        <f t="shared" si="58"/>
        <v>0</v>
      </c>
      <c r="J305" s="63">
        <f t="shared" si="60"/>
        <v>0</v>
      </c>
      <c r="K305" s="64">
        <f t="shared" si="61"/>
        <v>0</v>
      </c>
      <c r="L305" s="63">
        <f t="shared" si="56"/>
        <v>0</v>
      </c>
      <c r="M305" s="65">
        <f t="shared" si="62"/>
        <v>0</v>
      </c>
      <c r="N305" s="41"/>
      <c r="O305" s="41"/>
      <c r="P305" s="41"/>
    </row>
    <row r="306" spans="1:16" x14ac:dyDescent="0.2">
      <c r="A306" s="302">
        <v>99350186920</v>
      </c>
      <c r="B306" s="303" t="s">
        <v>19</v>
      </c>
      <c r="C306" s="309" t="s">
        <v>475</v>
      </c>
      <c r="D306" s="329" t="s">
        <v>555</v>
      </c>
      <c r="E306" s="489">
        <v>201.03</v>
      </c>
      <c r="F306" s="62"/>
      <c r="G306" s="267"/>
      <c r="H306" s="417">
        <f t="shared" si="59"/>
        <v>0</v>
      </c>
      <c r="I306" s="50">
        <f t="shared" si="58"/>
        <v>0</v>
      </c>
      <c r="J306" s="63">
        <f t="shared" si="60"/>
        <v>0</v>
      </c>
      <c r="K306" s="64">
        <f t="shared" si="61"/>
        <v>0</v>
      </c>
      <c r="L306" s="63">
        <f t="shared" si="56"/>
        <v>0</v>
      </c>
      <c r="M306" s="65">
        <f t="shared" si="62"/>
        <v>0</v>
      </c>
      <c r="N306" s="41"/>
      <c r="O306" s="41"/>
      <c r="P306" s="41"/>
    </row>
    <row r="307" spans="1:16" x14ac:dyDescent="0.2">
      <c r="A307" s="306">
        <v>4015600243630</v>
      </c>
      <c r="B307" s="303" t="s">
        <v>19</v>
      </c>
      <c r="C307" s="309" t="s">
        <v>475</v>
      </c>
      <c r="D307" s="307" t="s">
        <v>207</v>
      </c>
      <c r="E307" s="489">
        <v>201.03</v>
      </c>
      <c r="F307" s="62"/>
      <c r="G307" s="267"/>
      <c r="H307" s="417">
        <f t="shared" si="59"/>
        <v>0</v>
      </c>
      <c r="I307" s="50">
        <f t="shared" si="58"/>
        <v>0</v>
      </c>
      <c r="J307" s="63">
        <f t="shared" si="60"/>
        <v>0</v>
      </c>
      <c r="K307" s="64">
        <f t="shared" si="61"/>
        <v>0</v>
      </c>
      <c r="L307" s="63">
        <f t="shared" si="56"/>
        <v>0</v>
      </c>
      <c r="M307" s="65">
        <f t="shared" si="62"/>
        <v>0</v>
      </c>
      <c r="N307" s="41"/>
      <c r="O307" s="41"/>
      <c r="P307" s="41"/>
    </row>
    <row r="308" spans="1:16" x14ac:dyDescent="0.2">
      <c r="A308" s="306">
        <v>7506309855431</v>
      </c>
      <c r="B308" s="303" t="s">
        <v>19</v>
      </c>
      <c r="C308" s="309" t="s">
        <v>475</v>
      </c>
      <c r="D308" s="307" t="s">
        <v>208</v>
      </c>
      <c r="E308" s="489">
        <v>201.03</v>
      </c>
      <c r="F308" s="62"/>
      <c r="G308" s="267"/>
      <c r="H308" s="417">
        <f t="shared" si="59"/>
        <v>0</v>
      </c>
      <c r="I308" s="50">
        <f t="shared" si="58"/>
        <v>0</v>
      </c>
      <c r="J308" s="63">
        <f t="shared" si="60"/>
        <v>0</v>
      </c>
      <c r="K308" s="64">
        <f t="shared" si="61"/>
        <v>0</v>
      </c>
      <c r="L308" s="63">
        <f t="shared" si="56"/>
        <v>0</v>
      </c>
      <c r="M308" s="65">
        <f t="shared" si="62"/>
        <v>0</v>
      </c>
      <c r="N308" s="41"/>
      <c r="O308" s="41"/>
      <c r="P308" s="41"/>
    </row>
    <row r="309" spans="1:16" x14ac:dyDescent="0.2">
      <c r="A309" s="302">
        <v>99350186921</v>
      </c>
      <c r="B309" s="303" t="s">
        <v>19</v>
      </c>
      <c r="C309" s="309" t="s">
        <v>475</v>
      </c>
      <c r="D309" s="329" t="s">
        <v>556</v>
      </c>
      <c r="E309" s="489">
        <v>201.03</v>
      </c>
      <c r="F309" s="62"/>
      <c r="G309" s="267"/>
      <c r="H309" s="417">
        <f t="shared" si="59"/>
        <v>0</v>
      </c>
      <c r="I309" s="50">
        <f t="shared" si="58"/>
        <v>0</v>
      </c>
      <c r="J309" s="63">
        <f t="shared" si="60"/>
        <v>0</v>
      </c>
      <c r="K309" s="64">
        <f t="shared" si="61"/>
        <v>0</v>
      </c>
      <c r="L309" s="63">
        <f t="shared" si="56"/>
        <v>0</v>
      </c>
      <c r="M309" s="65">
        <f t="shared" si="62"/>
        <v>0</v>
      </c>
      <c r="N309" s="41"/>
      <c r="O309" s="41"/>
      <c r="P309" s="41"/>
    </row>
    <row r="310" spans="1:16" x14ac:dyDescent="0.2">
      <c r="A310" s="330">
        <v>7506309839424</v>
      </c>
      <c r="B310" s="303" t="s">
        <v>19</v>
      </c>
      <c r="C310" s="309" t="s">
        <v>475</v>
      </c>
      <c r="D310" s="329" t="s">
        <v>209</v>
      </c>
      <c r="E310" s="489">
        <v>201.03</v>
      </c>
      <c r="F310" s="62"/>
      <c r="G310" s="267"/>
      <c r="H310" s="417">
        <f t="shared" si="59"/>
        <v>0</v>
      </c>
      <c r="I310" s="50">
        <f t="shared" si="58"/>
        <v>0</v>
      </c>
      <c r="J310" s="63">
        <f t="shared" si="60"/>
        <v>0</v>
      </c>
      <c r="K310" s="64">
        <f t="shared" si="61"/>
        <v>0</v>
      </c>
      <c r="L310" s="63">
        <f t="shared" si="56"/>
        <v>0</v>
      </c>
      <c r="M310" s="65">
        <f t="shared" si="62"/>
        <v>0</v>
      </c>
      <c r="N310" s="41"/>
      <c r="O310" s="41"/>
      <c r="P310" s="41"/>
    </row>
    <row r="311" spans="1:16" x14ac:dyDescent="0.2">
      <c r="A311" s="302">
        <v>99350184690</v>
      </c>
      <c r="B311" s="303" t="s">
        <v>19</v>
      </c>
      <c r="C311" s="309" t="s">
        <v>475</v>
      </c>
      <c r="D311" s="329" t="s">
        <v>557</v>
      </c>
      <c r="E311" s="489">
        <v>201.03</v>
      </c>
      <c r="F311" s="62"/>
      <c r="G311" s="267"/>
      <c r="H311" s="417">
        <f t="shared" si="59"/>
        <v>0</v>
      </c>
      <c r="I311" s="50">
        <f t="shared" si="58"/>
        <v>0</v>
      </c>
      <c r="J311" s="63">
        <f t="shared" si="60"/>
        <v>0</v>
      </c>
      <c r="K311" s="64">
        <f t="shared" si="61"/>
        <v>0</v>
      </c>
      <c r="L311" s="63">
        <f t="shared" si="56"/>
        <v>0</v>
      </c>
      <c r="M311" s="65">
        <f t="shared" si="62"/>
        <v>0</v>
      </c>
      <c r="N311" s="41"/>
      <c r="O311" s="41"/>
      <c r="P311" s="41"/>
    </row>
    <row r="312" spans="1:16" ht="15.75" thickBot="1" x14ac:dyDescent="0.25">
      <c r="A312" s="302">
        <v>99350082563</v>
      </c>
      <c r="B312" s="303" t="s">
        <v>19</v>
      </c>
      <c r="C312" s="309" t="s">
        <v>475</v>
      </c>
      <c r="D312" s="329" t="s">
        <v>558</v>
      </c>
      <c r="E312" s="489">
        <v>201.03</v>
      </c>
      <c r="F312" s="62"/>
      <c r="G312" s="267"/>
      <c r="H312" s="417">
        <f t="shared" si="59"/>
        <v>0</v>
      </c>
      <c r="I312" s="50">
        <f t="shared" si="58"/>
        <v>0</v>
      </c>
      <c r="J312" s="63">
        <f t="shared" si="60"/>
        <v>0</v>
      </c>
      <c r="K312" s="64">
        <f t="shared" si="61"/>
        <v>0</v>
      </c>
      <c r="L312" s="63">
        <f t="shared" si="56"/>
        <v>0</v>
      </c>
      <c r="M312" s="65">
        <f t="shared" si="62"/>
        <v>0</v>
      </c>
      <c r="N312" s="41"/>
      <c r="O312" s="41"/>
      <c r="P312" s="41"/>
    </row>
    <row r="313" spans="1:16" ht="15.75" thickBot="1" x14ac:dyDescent="0.25">
      <c r="A313" s="74"/>
      <c r="B313" s="75"/>
      <c r="C313" s="309" t="e">
        <v>#N/A</v>
      </c>
      <c r="D313" s="76" t="s">
        <v>22</v>
      </c>
      <c r="E313" s="423"/>
      <c r="F313" s="77"/>
      <c r="G313" s="77"/>
      <c r="H313" s="420"/>
      <c r="I313" s="421"/>
      <c r="J313" s="422"/>
      <c r="K313" s="423"/>
      <c r="L313" s="422"/>
      <c r="M313" s="424"/>
      <c r="N313" s="79"/>
      <c r="O313" s="79"/>
      <c r="P313" s="79"/>
    </row>
    <row r="314" spans="1:16" x14ac:dyDescent="0.2">
      <c r="A314" s="309">
        <v>99350170519</v>
      </c>
      <c r="B314" s="303" t="s">
        <v>530</v>
      </c>
      <c r="C314" s="309" t="s">
        <v>475</v>
      </c>
      <c r="D314" s="310" t="s">
        <v>646</v>
      </c>
      <c r="E314" s="489">
        <v>479.25</v>
      </c>
      <c r="F314" s="78"/>
      <c r="G314" s="541"/>
      <c r="H314" s="255">
        <f t="shared" ref="H314:H345" si="63">(F314+G314)</f>
        <v>0</v>
      </c>
      <c r="I314" s="50">
        <f t="shared" si="58"/>
        <v>0</v>
      </c>
      <c r="J314" s="57">
        <f t="shared" ref="J314:J345" si="64">I314*$M$15</f>
        <v>0</v>
      </c>
      <c r="K314" s="52">
        <f t="shared" ref="K314:K345" si="65">I314-J314</f>
        <v>0</v>
      </c>
      <c r="L314" s="63">
        <f t="shared" si="56"/>
        <v>0</v>
      </c>
      <c r="M314" s="52">
        <f t="shared" ref="M314:M345" si="66">K314+L314</f>
        <v>0</v>
      </c>
      <c r="N314" s="79"/>
      <c r="O314" s="79"/>
      <c r="P314" s="79"/>
    </row>
    <row r="315" spans="1:16" x14ac:dyDescent="0.2">
      <c r="A315" s="306">
        <v>99350113569</v>
      </c>
      <c r="B315" s="303" t="s">
        <v>530</v>
      </c>
      <c r="C315" s="309" t="s">
        <v>475</v>
      </c>
      <c r="D315" s="307" t="s">
        <v>210</v>
      </c>
      <c r="E315" s="489">
        <v>201.03</v>
      </c>
      <c r="F315" s="80"/>
      <c r="G315" s="80"/>
      <c r="H315" s="255">
        <f t="shared" si="63"/>
        <v>0</v>
      </c>
      <c r="I315" s="50">
        <f t="shared" si="58"/>
        <v>0</v>
      </c>
      <c r="J315" s="57">
        <f t="shared" si="64"/>
        <v>0</v>
      </c>
      <c r="K315" s="58">
        <f t="shared" si="65"/>
        <v>0</v>
      </c>
      <c r="L315" s="63">
        <f t="shared" si="56"/>
        <v>0</v>
      </c>
      <c r="M315" s="58">
        <f t="shared" si="66"/>
        <v>0</v>
      </c>
      <c r="N315" s="79"/>
      <c r="O315" s="79"/>
      <c r="P315" s="79"/>
    </row>
    <row r="316" spans="1:16" x14ac:dyDescent="0.2">
      <c r="A316" s="306">
        <v>99350113568</v>
      </c>
      <c r="B316" s="303" t="s">
        <v>530</v>
      </c>
      <c r="C316" s="309" t="s">
        <v>475</v>
      </c>
      <c r="D316" s="307" t="s">
        <v>211</v>
      </c>
      <c r="E316" s="489">
        <v>201.03</v>
      </c>
      <c r="F316" s="80"/>
      <c r="G316" s="80"/>
      <c r="H316" s="255">
        <f t="shared" si="63"/>
        <v>0</v>
      </c>
      <c r="I316" s="50">
        <f t="shared" si="58"/>
        <v>0</v>
      </c>
      <c r="J316" s="57">
        <f t="shared" si="64"/>
        <v>0</v>
      </c>
      <c r="K316" s="58">
        <f t="shared" si="65"/>
        <v>0</v>
      </c>
      <c r="L316" s="63">
        <f t="shared" si="56"/>
        <v>0</v>
      </c>
      <c r="M316" s="58">
        <f t="shared" si="66"/>
        <v>0</v>
      </c>
      <c r="N316" s="79"/>
      <c r="O316" s="79"/>
      <c r="P316" s="79"/>
    </row>
    <row r="317" spans="1:16" x14ac:dyDescent="0.2">
      <c r="A317" s="306">
        <v>99350157076</v>
      </c>
      <c r="B317" s="303" t="s">
        <v>530</v>
      </c>
      <c r="C317" s="309" t="s">
        <v>475</v>
      </c>
      <c r="D317" s="304" t="s">
        <v>452</v>
      </c>
      <c r="E317" s="489">
        <v>201.03</v>
      </c>
      <c r="F317" s="80"/>
      <c r="G317" s="80"/>
      <c r="H317" s="255">
        <f t="shared" si="63"/>
        <v>0</v>
      </c>
      <c r="I317" s="50">
        <f t="shared" si="58"/>
        <v>0</v>
      </c>
      <c r="J317" s="57">
        <f t="shared" si="64"/>
        <v>0</v>
      </c>
      <c r="K317" s="58">
        <f t="shared" si="65"/>
        <v>0</v>
      </c>
      <c r="L317" s="63">
        <f t="shared" si="56"/>
        <v>0</v>
      </c>
      <c r="M317" s="58">
        <f t="shared" si="66"/>
        <v>0</v>
      </c>
      <c r="N317" s="79"/>
      <c r="O317" s="79"/>
      <c r="P317" s="79"/>
    </row>
    <row r="318" spans="1:16" x14ac:dyDescent="0.2">
      <c r="A318" s="306">
        <v>99350113552</v>
      </c>
      <c r="B318" s="303" t="s">
        <v>530</v>
      </c>
      <c r="C318" s="309" t="s">
        <v>475</v>
      </c>
      <c r="D318" s="307" t="s">
        <v>221</v>
      </c>
      <c r="E318" s="489">
        <v>201.03</v>
      </c>
      <c r="F318" s="80"/>
      <c r="G318" s="80"/>
      <c r="H318" s="255">
        <f t="shared" si="63"/>
        <v>0</v>
      </c>
      <c r="I318" s="50">
        <f t="shared" si="58"/>
        <v>0</v>
      </c>
      <c r="J318" s="57">
        <f t="shared" si="64"/>
        <v>0</v>
      </c>
      <c r="K318" s="58">
        <f t="shared" si="65"/>
        <v>0</v>
      </c>
      <c r="L318" s="63">
        <f t="shared" si="56"/>
        <v>0</v>
      </c>
      <c r="M318" s="58">
        <f t="shared" si="66"/>
        <v>0</v>
      </c>
      <c r="N318" s="79"/>
      <c r="O318" s="79"/>
      <c r="P318" s="79"/>
    </row>
    <row r="319" spans="1:16" x14ac:dyDescent="0.2">
      <c r="A319" s="306">
        <v>99350157074</v>
      </c>
      <c r="B319" s="303" t="s">
        <v>530</v>
      </c>
      <c r="C319" s="309" t="s">
        <v>475</v>
      </c>
      <c r="D319" s="304" t="s">
        <v>457</v>
      </c>
      <c r="E319" s="489">
        <v>201.03</v>
      </c>
      <c r="F319" s="80"/>
      <c r="G319" s="80"/>
      <c r="H319" s="255">
        <f t="shared" si="63"/>
        <v>0</v>
      </c>
      <c r="I319" s="50">
        <f t="shared" si="58"/>
        <v>0</v>
      </c>
      <c r="J319" s="57">
        <f t="shared" si="64"/>
        <v>0</v>
      </c>
      <c r="K319" s="58">
        <f t="shared" si="65"/>
        <v>0</v>
      </c>
      <c r="L319" s="63">
        <f t="shared" si="56"/>
        <v>0</v>
      </c>
      <c r="M319" s="58">
        <f t="shared" si="66"/>
        <v>0</v>
      </c>
      <c r="N319" s="79"/>
      <c r="O319" s="79"/>
      <c r="P319" s="79"/>
    </row>
    <row r="320" spans="1:16" x14ac:dyDescent="0.2">
      <c r="A320" s="306">
        <v>99350113559</v>
      </c>
      <c r="B320" s="303" t="s">
        <v>530</v>
      </c>
      <c r="C320" s="309" t="s">
        <v>475</v>
      </c>
      <c r="D320" s="307" t="s">
        <v>227</v>
      </c>
      <c r="E320" s="489">
        <v>201.03</v>
      </c>
      <c r="F320" s="80"/>
      <c r="G320" s="80"/>
      <c r="H320" s="255">
        <f t="shared" si="63"/>
        <v>0</v>
      </c>
      <c r="I320" s="50">
        <f t="shared" si="58"/>
        <v>0</v>
      </c>
      <c r="J320" s="57">
        <f t="shared" si="64"/>
        <v>0</v>
      </c>
      <c r="K320" s="58">
        <f t="shared" si="65"/>
        <v>0</v>
      </c>
      <c r="L320" s="63">
        <f t="shared" si="56"/>
        <v>0</v>
      </c>
      <c r="M320" s="58">
        <f t="shared" si="66"/>
        <v>0</v>
      </c>
      <c r="N320" s="79"/>
      <c r="O320" s="79"/>
      <c r="P320" s="79"/>
    </row>
    <row r="321" spans="1:16" x14ac:dyDescent="0.2">
      <c r="A321" s="306">
        <v>99350113560</v>
      </c>
      <c r="B321" s="303" t="s">
        <v>530</v>
      </c>
      <c r="C321" s="309" t="s">
        <v>475</v>
      </c>
      <c r="D321" s="307" t="s">
        <v>212</v>
      </c>
      <c r="E321" s="489">
        <v>201.03</v>
      </c>
      <c r="F321" s="80"/>
      <c r="G321" s="80"/>
      <c r="H321" s="255">
        <f t="shared" si="63"/>
        <v>0</v>
      </c>
      <c r="I321" s="50">
        <f t="shared" si="58"/>
        <v>0</v>
      </c>
      <c r="J321" s="57">
        <f t="shared" si="64"/>
        <v>0</v>
      </c>
      <c r="K321" s="58">
        <f t="shared" si="65"/>
        <v>0</v>
      </c>
      <c r="L321" s="63">
        <f t="shared" si="56"/>
        <v>0</v>
      </c>
      <c r="M321" s="58">
        <f t="shared" si="66"/>
        <v>0</v>
      </c>
      <c r="N321" s="79"/>
      <c r="O321" s="79"/>
      <c r="P321" s="79"/>
    </row>
    <row r="322" spans="1:16" x14ac:dyDescent="0.2">
      <c r="A322" s="306">
        <v>99350113539</v>
      </c>
      <c r="B322" s="303" t="s">
        <v>530</v>
      </c>
      <c r="C322" s="309" t="s">
        <v>475</v>
      </c>
      <c r="D322" s="307" t="s">
        <v>213</v>
      </c>
      <c r="E322" s="489">
        <v>201.03</v>
      </c>
      <c r="F322" s="80"/>
      <c r="G322" s="80"/>
      <c r="H322" s="255">
        <f t="shared" si="63"/>
        <v>0</v>
      </c>
      <c r="I322" s="50">
        <f t="shared" si="58"/>
        <v>0</v>
      </c>
      <c r="J322" s="57">
        <f t="shared" si="64"/>
        <v>0</v>
      </c>
      <c r="K322" s="58">
        <f t="shared" si="65"/>
        <v>0</v>
      </c>
      <c r="L322" s="63">
        <f t="shared" si="56"/>
        <v>0</v>
      </c>
      <c r="M322" s="58">
        <f t="shared" si="66"/>
        <v>0</v>
      </c>
      <c r="N322" s="79"/>
      <c r="O322" s="79"/>
      <c r="P322" s="79"/>
    </row>
    <row r="323" spans="1:16" x14ac:dyDescent="0.2">
      <c r="A323" s="306">
        <v>99350113565</v>
      </c>
      <c r="B323" s="303" t="s">
        <v>530</v>
      </c>
      <c r="C323" s="309" t="s">
        <v>475</v>
      </c>
      <c r="D323" s="307" t="s">
        <v>228</v>
      </c>
      <c r="E323" s="489">
        <v>201.03</v>
      </c>
      <c r="F323" s="80"/>
      <c r="G323" s="80"/>
      <c r="H323" s="255">
        <f t="shared" si="63"/>
        <v>0</v>
      </c>
      <c r="I323" s="50">
        <f t="shared" si="58"/>
        <v>0</v>
      </c>
      <c r="J323" s="57">
        <f t="shared" si="64"/>
        <v>0</v>
      </c>
      <c r="K323" s="58">
        <f t="shared" si="65"/>
        <v>0</v>
      </c>
      <c r="L323" s="63">
        <f t="shared" si="56"/>
        <v>0</v>
      </c>
      <c r="M323" s="58">
        <f t="shared" si="66"/>
        <v>0</v>
      </c>
      <c r="N323" s="79"/>
      <c r="O323" s="79"/>
      <c r="P323" s="79"/>
    </row>
    <row r="324" spans="1:16" x14ac:dyDescent="0.2">
      <c r="A324" s="306">
        <v>99350157075</v>
      </c>
      <c r="B324" s="303" t="s">
        <v>530</v>
      </c>
      <c r="C324" s="309" t="s">
        <v>475</v>
      </c>
      <c r="D324" s="304" t="s">
        <v>453</v>
      </c>
      <c r="E324" s="489">
        <v>201.03</v>
      </c>
      <c r="F324" s="80"/>
      <c r="G324" s="80"/>
      <c r="H324" s="255">
        <f t="shared" si="63"/>
        <v>0</v>
      </c>
      <c r="I324" s="50">
        <f t="shared" si="58"/>
        <v>0</v>
      </c>
      <c r="J324" s="57">
        <f t="shared" si="64"/>
        <v>0</v>
      </c>
      <c r="K324" s="58">
        <f t="shared" si="65"/>
        <v>0</v>
      </c>
      <c r="L324" s="63">
        <f t="shared" si="56"/>
        <v>0</v>
      </c>
      <c r="M324" s="58">
        <f t="shared" si="66"/>
        <v>0</v>
      </c>
      <c r="N324" s="79"/>
      <c r="O324" s="79"/>
      <c r="P324" s="79"/>
    </row>
    <row r="325" spans="1:16" x14ac:dyDescent="0.2">
      <c r="A325" s="306">
        <v>99350113548</v>
      </c>
      <c r="B325" s="303" t="s">
        <v>530</v>
      </c>
      <c r="C325" s="309" t="s">
        <v>475</v>
      </c>
      <c r="D325" s="307" t="s">
        <v>222</v>
      </c>
      <c r="E325" s="489">
        <v>201.03</v>
      </c>
      <c r="F325" s="80"/>
      <c r="G325" s="80"/>
      <c r="H325" s="255">
        <f t="shared" si="63"/>
        <v>0</v>
      </c>
      <c r="I325" s="50">
        <f t="shared" si="58"/>
        <v>0</v>
      </c>
      <c r="J325" s="57">
        <f t="shared" si="64"/>
        <v>0</v>
      </c>
      <c r="K325" s="58">
        <f t="shared" si="65"/>
        <v>0</v>
      </c>
      <c r="L325" s="63">
        <f t="shared" si="56"/>
        <v>0</v>
      </c>
      <c r="M325" s="58">
        <f t="shared" si="66"/>
        <v>0</v>
      </c>
      <c r="N325" s="79"/>
      <c r="O325" s="79"/>
      <c r="P325" s="79"/>
    </row>
    <row r="326" spans="1:16" x14ac:dyDescent="0.2">
      <c r="A326" s="306">
        <v>99350113547</v>
      </c>
      <c r="B326" s="303" t="s">
        <v>530</v>
      </c>
      <c r="C326" s="309" t="s">
        <v>475</v>
      </c>
      <c r="D326" s="307" t="s">
        <v>223</v>
      </c>
      <c r="E326" s="489">
        <v>201.03</v>
      </c>
      <c r="F326" s="80"/>
      <c r="G326" s="80"/>
      <c r="H326" s="255">
        <f t="shared" si="63"/>
        <v>0</v>
      </c>
      <c r="I326" s="50">
        <f t="shared" si="58"/>
        <v>0</v>
      </c>
      <c r="J326" s="57">
        <f t="shared" si="64"/>
        <v>0</v>
      </c>
      <c r="K326" s="58">
        <f t="shared" si="65"/>
        <v>0</v>
      </c>
      <c r="L326" s="63">
        <f t="shared" si="56"/>
        <v>0</v>
      </c>
      <c r="M326" s="58">
        <f t="shared" si="66"/>
        <v>0</v>
      </c>
      <c r="N326" s="79"/>
      <c r="O326" s="79"/>
      <c r="P326" s="79"/>
    </row>
    <row r="327" spans="1:16" x14ac:dyDescent="0.2">
      <c r="A327" s="306">
        <v>99350113555</v>
      </c>
      <c r="B327" s="303" t="s">
        <v>530</v>
      </c>
      <c r="C327" s="309" t="s">
        <v>475</v>
      </c>
      <c r="D327" s="307" t="s">
        <v>214</v>
      </c>
      <c r="E327" s="489">
        <v>201.03</v>
      </c>
      <c r="F327" s="80"/>
      <c r="G327" s="80"/>
      <c r="H327" s="255">
        <f t="shared" si="63"/>
        <v>0</v>
      </c>
      <c r="I327" s="50">
        <f t="shared" si="58"/>
        <v>0</v>
      </c>
      <c r="J327" s="57">
        <f t="shared" si="64"/>
        <v>0</v>
      </c>
      <c r="K327" s="58">
        <f t="shared" si="65"/>
        <v>0</v>
      </c>
      <c r="L327" s="63">
        <f t="shared" si="56"/>
        <v>0</v>
      </c>
      <c r="M327" s="58">
        <f t="shared" si="66"/>
        <v>0</v>
      </c>
      <c r="N327" s="79"/>
      <c r="O327" s="79"/>
      <c r="P327" s="79"/>
    </row>
    <row r="328" spans="1:16" x14ac:dyDescent="0.2">
      <c r="A328" s="306">
        <v>99350113541</v>
      </c>
      <c r="B328" s="303" t="s">
        <v>530</v>
      </c>
      <c r="C328" s="309" t="s">
        <v>535</v>
      </c>
      <c r="D328" s="307" t="s">
        <v>230</v>
      </c>
      <c r="E328" s="489">
        <v>201.03</v>
      </c>
      <c r="F328" s="80"/>
      <c r="G328" s="80"/>
      <c r="H328" s="255">
        <f t="shared" si="63"/>
        <v>0</v>
      </c>
      <c r="I328" s="50">
        <f t="shared" si="58"/>
        <v>0</v>
      </c>
      <c r="J328" s="57">
        <f t="shared" si="64"/>
        <v>0</v>
      </c>
      <c r="K328" s="58">
        <f t="shared" si="65"/>
        <v>0</v>
      </c>
      <c r="L328" s="63">
        <f t="shared" si="56"/>
        <v>0</v>
      </c>
      <c r="M328" s="58">
        <f t="shared" si="66"/>
        <v>0</v>
      </c>
      <c r="N328" s="79"/>
      <c r="O328" s="79"/>
      <c r="P328" s="79"/>
    </row>
    <row r="329" spans="1:16" x14ac:dyDescent="0.2">
      <c r="A329" s="306">
        <v>99350113545</v>
      </c>
      <c r="B329" s="303" t="s">
        <v>530</v>
      </c>
      <c r="C329" s="309" t="s">
        <v>475</v>
      </c>
      <c r="D329" s="307" t="s">
        <v>229</v>
      </c>
      <c r="E329" s="489">
        <v>201.03</v>
      </c>
      <c r="F329" s="80"/>
      <c r="G329" s="80"/>
      <c r="H329" s="255">
        <f t="shared" si="63"/>
        <v>0</v>
      </c>
      <c r="I329" s="50">
        <f t="shared" si="58"/>
        <v>0</v>
      </c>
      <c r="J329" s="57">
        <f t="shared" si="64"/>
        <v>0</v>
      </c>
      <c r="K329" s="58">
        <f t="shared" si="65"/>
        <v>0</v>
      </c>
      <c r="L329" s="63">
        <f t="shared" si="56"/>
        <v>0</v>
      </c>
      <c r="M329" s="58">
        <f t="shared" si="66"/>
        <v>0</v>
      </c>
      <c r="N329" s="79"/>
      <c r="O329" s="79"/>
      <c r="P329" s="79"/>
    </row>
    <row r="330" spans="1:16" x14ac:dyDescent="0.2">
      <c r="A330" s="306">
        <v>99350113544</v>
      </c>
      <c r="B330" s="303" t="s">
        <v>530</v>
      </c>
      <c r="C330" s="309" t="s">
        <v>475</v>
      </c>
      <c r="D330" s="307" t="s">
        <v>215</v>
      </c>
      <c r="E330" s="489">
        <v>201.03</v>
      </c>
      <c r="F330" s="80"/>
      <c r="G330" s="80"/>
      <c r="H330" s="255">
        <f t="shared" si="63"/>
        <v>0</v>
      </c>
      <c r="I330" s="50">
        <f t="shared" si="58"/>
        <v>0</v>
      </c>
      <c r="J330" s="57">
        <f t="shared" si="64"/>
        <v>0</v>
      </c>
      <c r="K330" s="58">
        <f t="shared" si="65"/>
        <v>0</v>
      </c>
      <c r="L330" s="63">
        <f t="shared" si="56"/>
        <v>0</v>
      </c>
      <c r="M330" s="58">
        <f t="shared" si="66"/>
        <v>0</v>
      </c>
      <c r="N330" s="79"/>
      <c r="O330" s="79"/>
      <c r="P330" s="79"/>
    </row>
    <row r="331" spans="1:16" x14ac:dyDescent="0.2">
      <c r="A331" s="306">
        <v>99350157078</v>
      </c>
      <c r="B331" s="303" t="s">
        <v>530</v>
      </c>
      <c r="C331" s="309" t="s">
        <v>475</v>
      </c>
      <c r="D331" s="304" t="s">
        <v>456</v>
      </c>
      <c r="E331" s="489">
        <v>201.03</v>
      </c>
      <c r="F331" s="80"/>
      <c r="G331" s="80"/>
      <c r="H331" s="255">
        <f t="shared" si="63"/>
        <v>0</v>
      </c>
      <c r="I331" s="50">
        <f t="shared" si="58"/>
        <v>0</v>
      </c>
      <c r="J331" s="57">
        <f t="shared" si="64"/>
        <v>0</v>
      </c>
      <c r="K331" s="58">
        <f t="shared" si="65"/>
        <v>0</v>
      </c>
      <c r="L331" s="63">
        <f t="shared" si="56"/>
        <v>0</v>
      </c>
      <c r="M331" s="58">
        <f t="shared" si="66"/>
        <v>0</v>
      </c>
      <c r="N331" s="79"/>
      <c r="O331" s="79"/>
      <c r="P331" s="79"/>
    </row>
    <row r="332" spans="1:16" x14ac:dyDescent="0.2">
      <c r="A332" s="306">
        <v>99350113557</v>
      </c>
      <c r="B332" s="303" t="s">
        <v>530</v>
      </c>
      <c r="C332" s="309" t="s">
        <v>475</v>
      </c>
      <c r="D332" s="307" t="s">
        <v>231</v>
      </c>
      <c r="E332" s="489">
        <v>201.03</v>
      </c>
      <c r="F332" s="80"/>
      <c r="G332" s="80"/>
      <c r="H332" s="255">
        <f t="shared" si="63"/>
        <v>0</v>
      </c>
      <c r="I332" s="50">
        <f t="shared" si="58"/>
        <v>0</v>
      </c>
      <c r="J332" s="57">
        <f t="shared" si="64"/>
        <v>0</v>
      </c>
      <c r="K332" s="58">
        <f t="shared" si="65"/>
        <v>0</v>
      </c>
      <c r="L332" s="63">
        <f t="shared" si="56"/>
        <v>0</v>
      </c>
      <c r="M332" s="58">
        <f t="shared" si="66"/>
        <v>0</v>
      </c>
      <c r="N332" s="79"/>
      <c r="O332" s="79"/>
      <c r="P332" s="79"/>
    </row>
    <row r="333" spans="1:16" x14ac:dyDescent="0.2">
      <c r="A333" s="306">
        <v>99350113550</v>
      </c>
      <c r="B333" s="303" t="s">
        <v>530</v>
      </c>
      <c r="C333" s="309" t="s">
        <v>475</v>
      </c>
      <c r="D333" s="307" t="s">
        <v>216</v>
      </c>
      <c r="E333" s="489">
        <v>201.03</v>
      </c>
      <c r="F333" s="80"/>
      <c r="G333" s="80"/>
      <c r="H333" s="255">
        <f t="shared" si="63"/>
        <v>0</v>
      </c>
      <c r="I333" s="50">
        <f t="shared" si="58"/>
        <v>0</v>
      </c>
      <c r="J333" s="57">
        <f t="shared" si="64"/>
        <v>0</v>
      </c>
      <c r="K333" s="58">
        <f t="shared" si="65"/>
        <v>0</v>
      </c>
      <c r="L333" s="63">
        <f t="shared" si="56"/>
        <v>0</v>
      </c>
      <c r="M333" s="58">
        <f t="shared" si="66"/>
        <v>0</v>
      </c>
      <c r="N333" s="79"/>
      <c r="O333" s="79"/>
      <c r="P333" s="79"/>
    </row>
    <row r="334" spans="1:16" x14ac:dyDescent="0.2">
      <c r="A334" s="306">
        <v>99350113542</v>
      </c>
      <c r="B334" s="303" t="s">
        <v>530</v>
      </c>
      <c r="C334" s="309" t="s">
        <v>475</v>
      </c>
      <c r="D334" s="307" t="s">
        <v>232</v>
      </c>
      <c r="E334" s="489">
        <v>201.03</v>
      </c>
      <c r="F334" s="80"/>
      <c r="G334" s="80"/>
      <c r="H334" s="255">
        <f t="shared" si="63"/>
        <v>0</v>
      </c>
      <c r="I334" s="50">
        <f t="shared" si="58"/>
        <v>0</v>
      </c>
      <c r="J334" s="57">
        <f t="shared" si="64"/>
        <v>0</v>
      </c>
      <c r="K334" s="58">
        <f t="shared" si="65"/>
        <v>0</v>
      </c>
      <c r="L334" s="63">
        <f t="shared" si="56"/>
        <v>0</v>
      </c>
      <c r="M334" s="58">
        <f t="shared" si="66"/>
        <v>0</v>
      </c>
      <c r="N334" s="79"/>
      <c r="O334" s="79"/>
      <c r="P334" s="79"/>
    </row>
    <row r="335" spans="1:16" x14ac:dyDescent="0.2">
      <c r="A335" s="306">
        <v>99350113563</v>
      </c>
      <c r="B335" s="303" t="s">
        <v>530</v>
      </c>
      <c r="C335" s="309" t="s">
        <v>475</v>
      </c>
      <c r="D335" s="307" t="s">
        <v>233</v>
      </c>
      <c r="E335" s="489">
        <v>201.03</v>
      </c>
      <c r="F335" s="80"/>
      <c r="G335" s="80"/>
      <c r="H335" s="255">
        <f t="shared" si="63"/>
        <v>0</v>
      </c>
      <c r="I335" s="50">
        <f t="shared" si="58"/>
        <v>0</v>
      </c>
      <c r="J335" s="57">
        <f t="shared" si="64"/>
        <v>0</v>
      </c>
      <c r="K335" s="58">
        <f t="shared" si="65"/>
        <v>0</v>
      </c>
      <c r="L335" s="63">
        <f t="shared" si="56"/>
        <v>0</v>
      </c>
      <c r="M335" s="58">
        <f t="shared" si="66"/>
        <v>0</v>
      </c>
      <c r="N335" s="79"/>
      <c r="O335" s="79"/>
      <c r="P335" s="79"/>
    </row>
    <row r="336" spans="1:16" x14ac:dyDescent="0.2">
      <c r="A336" s="306">
        <v>99350113564</v>
      </c>
      <c r="B336" s="303" t="s">
        <v>530</v>
      </c>
      <c r="C336" s="309" t="s">
        <v>475</v>
      </c>
      <c r="D336" s="307" t="s">
        <v>234</v>
      </c>
      <c r="E336" s="489">
        <v>201.03</v>
      </c>
      <c r="F336" s="80"/>
      <c r="G336" s="80"/>
      <c r="H336" s="255">
        <f t="shared" si="63"/>
        <v>0</v>
      </c>
      <c r="I336" s="50">
        <f t="shared" si="58"/>
        <v>0</v>
      </c>
      <c r="J336" s="57">
        <f t="shared" si="64"/>
        <v>0</v>
      </c>
      <c r="K336" s="58">
        <f t="shared" si="65"/>
        <v>0</v>
      </c>
      <c r="L336" s="63">
        <f t="shared" si="56"/>
        <v>0</v>
      </c>
      <c r="M336" s="58">
        <f t="shared" si="66"/>
        <v>0</v>
      </c>
      <c r="N336" s="79"/>
      <c r="O336" s="79"/>
      <c r="P336" s="79"/>
    </row>
    <row r="337" spans="1:16" x14ac:dyDescent="0.2">
      <c r="A337" s="306">
        <v>99350157077</v>
      </c>
      <c r="B337" s="303" t="s">
        <v>530</v>
      </c>
      <c r="C337" s="309" t="s">
        <v>475</v>
      </c>
      <c r="D337" s="304" t="s">
        <v>454</v>
      </c>
      <c r="E337" s="489">
        <v>201.03</v>
      </c>
      <c r="F337" s="80"/>
      <c r="G337" s="80"/>
      <c r="H337" s="255">
        <f t="shared" si="63"/>
        <v>0</v>
      </c>
      <c r="I337" s="50">
        <f t="shared" si="58"/>
        <v>0</v>
      </c>
      <c r="J337" s="57">
        <f t="shared" si="64"/>
        <v>0</v>
      </c>
      <c r="K337" s="58">
        <f t="shared" si="65"/>
        <v>0</v>
      </c>
      <c r="L337" s="63">
        <f t="shared" si="56"/>
        <v>0</v>
      </c>
      <c r="M337" s="58">
        <f t="shared" si="66"/>
        <v>0</v>
      </c>
      <c r="N337" s="79"/>
      <c r="O337" s="79"/>
      <c r="P337" s="79"/>
    </row>
    <row r="338" spans="1:16" x14ac:dyDescent="0.2">
      <c r="A338" s="306">
        <v>99350113543</v>
      </c>
      <c r="B338" s="303" t="s">
        <v>530</v>
      </c>
      <c r="C338" s="309" t="s">
        <v>475</v>
      </c>
      <c r="D338" s="307" t="s">
        <v>217</v>
      </c>
      <c r="E338" s="489">
        <v>201.03</v>
      </c>
      <c r="F338" s="80"/>
      <c r="G338" s="80"/>
      <c r="H338" s="255">
        <f t="shared" si="63"/>
        <v>0</v>
      </c>
      <c r="I338" s="50">
        <f t="shared" si="58"/>
        <v>0</v>
      </c>
      <c r="J338" s="57">
        <f t="shared" si="64"/>
        <v>0</v>
      </c>
      <c r="K338" s="58">
        <f t="shared" si="65"/>
        <v>0</v>
      </c>
      <c r="L338" s="63">
        <f t="shared" si="56"/>
        <v>0</v>
      </c>
      <c r="M338" s="58">
        <f t="shared" si="66"/>
        <v>0</v>
      </c>
      <c r="N338" s="79"/>
      <c r="O338" s="79"/>
      <c r="P338" s="79"/>
    </row>
    <row r="339" spans="1:16" x14ac:dyDescent="0.2">
      <c r="A339" s="306">
        <v>99350113546</v>
      </c>
      <c r="B339" s="303" t="s">
        <v>530</v>
      </c>
      <c r="C339" s="309" t="s">
        <v>475</v>
      </c>
      <c r="D339" s="307" t="s">
        <v>218</v>
      </c>
      <c r="E339" s="489">
        <v>201.03</v>
      </c>
      <c r="F339" s="80"/>
      <c r="G339" s="80"/>
      <c r="H339" s="255">
        <f t="shared" si="63"/>
        <v>0</v>
      </c>
      <c r="I339" s="50">
        <f t="shared" si="58"/>
        <v>0</v>
      </c>
      <c r="J339" s="57">
        <f t="shared" si="64"/>
        <v>0</v>
      </c>
      <c r="K339" s="58">
        <f t="shared" si="65"/>
        <v>0</v>
      </c>
      <c r="L339" s="63">
        <f t="shared" si="56"/>
        <v>0</v>
      </c>
      <c r="M339" s="58">
        <f t="shared" si="66"/>
        <v>0</v>
      </c>
      <c r="N339" s="79"/>
      <c r="O339" s="79"/>
      <c r="P339" s="79"/>
    </row>
    <row r="340" spans="1:16" x14ac:dyDescent="0.2">
      <c r="A340" s="306">
        <v>99350113562</v>
      </c>
      <c r="B340" s="303" t="s">
        <v>530</v>
      </c>
      <c r="C340" s="309" t="s">
        <v>475</v>
      </c>
      <c r="D340" s="307" t="s">
        <v>235</v>
      </c>
      <c r="E340" s="489">
        <v>201.03</v>
      </c>
      <c r="F340" s="80"/>
      <c r="G340" s="80"/>
      <c r="H340" s="255">
        <f t="shared" si="63"/>
        <v>0</v>
      </c>
      <c r="I340" s="50">
        <f t="shared" si="58"/>
        <v>0</v>
      </c>
      <c r="J340" s="57">
        <f t="shared" si="64"/>
        <v>0</v>
      </c>
      <c r="K340" s="58">
        <f t="shared" si="65"/>
        <v>0</v>
      </c>
      <c r="L340" s="63">
        <f t="shared" si="56"/>
        <v>0</v>
      </c>
      <c r="M340" s="58">
        <f t="shared" si="66"/>
        <v>0</v>
      </c>
      <c r="N340" s="79"/>
      <c r="O340" s="79"/>
      <c r="P340" s="79"/>
    </row>
    <row r="341" spans="1:16" x14ac:dyDescent="0.2">
      <c r="A341" s="306">
        <v>99350113567</v>
      </c>
      <c r="B341" s="303" t="s">
        <v>530</v>
      </c>
      <c r="C341" s="309" t="s">
        <v>475</v>
      </c>
      <c r="D341" s="307" t="s">
        <v>236</v>
      </c>
      <c r="E341" s="489">
        <v>201.03</v>
      </c>
      <c r="F341" s="80"/>
      <c r="G341" s="80"/>
      <c r="H341" s="255">
        <f t="shared" si="63"/>
        <v>0</v>
      </c>
      <c r="I341" s="50">
        <f t="shared" si="58"/>
        <v>0</v>
      </c>
      <c r="J341" s="57">
        <f t="shared" si="64"/>
        <v>0</v>
      </c>
      <c r="K341" s="58">
        <f t="shared" si="65"/>
        <v>0</v>
      </c>
      <c r="L341" s="63">
        <f t="shared" si="56"/>
        <v>0</v>
      </c>
      <c r="M341" s="58">
        <f t="shared" si="66"/>
        <v>0</v>
      </c>
      <c r="N341" s="79"/>
      <c r="O341" s="79"/>
      <c r="P341" s="79"/>
    </row>
    <row r="342" spans="1:16" x14ac:dyDescent="0.2">
      <c r="A342" s="306">
        <v>99350113558</v>
      </c>
      <c r="B342" s="303" t="s">
        <v>530</v>
      </c>
      <c r="C342" s="309" t="s">
        <v>475</v>
      </c>
      <c r="D342" s="307" t="s">
        <v>224</v>
      </c>
      <c r="E342" s="489">
        <v>201.03</v>
      </c>
      <c r="F342" s="80"/>
      <c r="G342" s="80"/>
      <c r="H342" s="255">
        <f t="shared" si="63"/>
        <v>0</v>
      </c>
      <c r="I342" s="50">
        <f t="shared" si="58"/>
        <v>0</v>
      </c>
      <c r="J342" s="57">
        <f t="shared" si="64"/>
        <v>0</v>
      </c>
      <c r="K342" s="58">
        <f t="shared" si="65"/>
        <v>0</v>
      </c>
      <c r="L342" s="63">
        <f t="shared" si="56"/>
        <v>0</v>
      </c>
      <c r="M342" s="58">
        <f t="shared" si="66"/>
        <v>0</v>
      </c>
      <c r="N342" s="79"/>
      <c r="O342" s="79"/>
      <c r="P342" s="79"/>
    </row>
    <row r="343" spans="1:16" x14ac:dyDescent="0.2">
      <c r="A343" s="306">
        <v>99350113556</v>
      </c>
      <c r="B343" s="303" t="s">
        <v>530</v>
      </c>
      <c r="C343" s="309" t="s">
        <v>475</v>
      </c>
      <c r="D343" s="307" t="s">
        <v>225</v>
      </c>
      <c r="E343" s="489">
        <v>201.03</v>
      </c>
      <c r="F343" s="80"/>
      <c r="G343" s="80"/>
      <c r="H343" s="255">
        <f t="shared" si="63"/>
        <v>0</v>
      </c>
      <c r="I343" s="50">
        <f t="shared" si="58"/>
        <v>0</v>
      </c>
      <c r="J343" s="57">
        <f t="shared" si="64"/>
        <v>0</v>
      </c>
      <c r="K343" s="58">
        <f t="shared" si="65"/>
        <v>0</v>
      </c>
      <c r="L343" s="63">
        <f t="shared" si="56"/>
        <v>0</v>
      </c>
      <c r="M343" s="58">
        <f t="shared" si="66"/>
        <v>0</v>
      </c>
      <c r="N343" s="79"/>
      <c r="O343" s="79"/>
      <c r="P343" s="79"/>
    </row>
    <row r="344" spans="1:16" x14ac:dyDescent="0.2">
      <c r="A344" s="306">
        <v>99350113549</v>
      </c>
      <c r="B344" s="303" t="s">
        <v>530</v>
      </c>
      <c r="C344" s="309" t="s">
        <v>475</v>
      </c>
      <c r="D344" s="307" t="s">
        <v>226</v>
      </c>
      <c r="E344" s="489">
        <v>201.03</v>
      </c>
      <c r="F344" s="80"/>
      <c r="G344" s="80"/>
      <c r="H344" s="255">
        <f t="shared" si="63"/>
        <v>0</v>
      </c>
      <c r="I344" s="50">
        <f t="shared" si="58"/>
        <v>0</v>
      </c>
      <c r="J344" s="57">
        <f t="shared" si="64"/>
        <v>0</v>
      </c>
      <c r="K344" s="58">
        <f t="shared" si="65"/>
        <v>0</v>
      </c>
      <c r="L344" s="63">
        <f t="shared" ref="L344:L389" si="67">K344*$P$5</f>
        <v>0</v>
      </c>
      <c r="M344" s="58">
        <f t="shared" si="66"/>
        <v>0</v>
      </c>
      <c r="N344" s="79"/>
      <c r="O344" s="79"/>
      <c r="P344" s="79"/>
    </row>
    <row r="345" spans="1:16" x14ac:dyDescent="0.2">
      <c r="A345" s="306">
        <v>99350113553</v>
      </c>
      <c r="B345" s="303" t="s">
        <v>530</v>
      </c>
      <c r="C345" s="309" t="s">
        <v>475</v>
      </c>
      <c r="D345" s="307" t="s">
        <v>237</v>
      </c>
      <c r="E345" s="489">
        <v>201.03</v>
      </c>
      <c r="F345" s="80"/>
      <c r="G345" s="80"/>
      <c r="H345" s="255">
        <f t="shared" si="63"/>
        <v>0</v>
      </c>
      <c r="I345" s="50">
        <f t="shared" si="58"/>
        <v>0</v>
      </c>
      <c r="J345" s="57">
        <f t="shared" si="64"/>
        <v>0</v>
      </c>
      <c r="K345" s="58">
        <f t="shared" si="65"/>
        <v>0</v>
      </c>
      <c r="L345" s="63">
        <f t="shared" si="67"/>
        <v>0</v>
      </c>
      <c r="M345" s="58">
        <f t="shared" si="66"/>
        <v>0</v>
      </c>
      <c r="N345" s="41"/>
      <c r="O345" s="41"/>
      <c r="P345" s="41"/>
    </row>
    <row r="346" spans="1:16" x14ac:dyDescent="0.2">
      <c r="A346" s="306">
        <v>99350113540</v>
      </c>
      <c r="B346" s="303" t="s">
        <v>530</v>
      </c>
      <c r="C346" s="309" t="s">
        <v>475</v>
      </c>
      <c r="D346" s="307" t="s">
        <v>219</v>
      </c>
      <c r="E346" s="489">
        <v>201.03</v>
      </c>
      <c r="F346" s="80"/>
      <c r="G346" s="80"/>
      <c r="H346" s="255">
        <f t="shared" ref="H346:H352" si="68">(F346+G346)</f>
        <v>0</v>
      </c>
      <c r="I346" s="50">
        <f t="shared" si="58"/>
        <v>0</v>
      </c>
      <c r="J346" s="57">
        <f t="shared" ref="J346:J352" si="69">I346*$M$15</f>
        <v>0</v>
      </c>
      <c r="K346" s="58">
        <f t="shared" ref="K346:K352" si="70">I346-J346</f>
        <v>0</v>
      </c>
      <c r="L346" s="63">
        <f t="shared" si="67"/>
        <v>0</v>
      </c>
      <c r="M346" s="58">
        <f t="shared" ref="M346:M352" si="71">K346+L346</f>
        <v>0</v>
      </c>
      <c r="N346" s="41"/>
      <c r="O346" s="41"/>
      <c r="P346" s="41"/>
    </row>
    <row r="347" spans="1:16" x14ac:dyDescent="0.2">
      <c r="A347" s="306">
        <v>99350113554</v>
      </c>
      <c r="B347" s="303" t="s">
        <v>530</v>
      </c>
      <c r="C347" s="309" t="s">
        <v>475</v>
      </c>
      <c r="D347" s="307" t="s">
        <v>238</v>
      </c>
      <c r="E347" s="489">
        <v>201.03</v>
      </c>
      <c r="F347" s="80"/>
      <c r="G347" s="80"/>
      <c r="H347" s="255">
        <f t="shared" si="68"/>
        <v>0</v>
      </c>
      <c r="I347" s="50">
        <f t="shared" si="58"/>
        <v>0</v>
      </c>
      <c r="J347" s="57">
        <f t="shared" si="69"/>
        <v>0</v>
      </c>
      <c r="K347" s="58">
        <f t="shared" si="70"/>
        <v>0</v>
      </c>
      <c r="L347" s="63">
        <f t="shared" si="67"/>
        <v>0</v>
      </c>
      <c r="M347" s="58">
        <f t="shared" si="71"/>
        <v>0</v>
      </c>
      <c r="N347" s="41"/>
      <c r="O347" s="41"/>
      <c r="P347" s="41"/>
    </row>
    <row r="348" spans="1:16" x14ac:dyDescent="0.2">
      <c r="A348" s="306">
        <v>99350113551</v>
      </c>
      <c r="B348" s="303" t="s">
        <v>530</v>
      </c>
      <c r="C348" s="309" t="s">
        <v>535</v>
      </c>
      <c r="D348" s="307" t="s">
        <v>239</v>
      </c>
      <c r="E348" s="489">
        <v>201.03</v>
      </c>
      <c r="F348" s="80"/>
      <c r="G348" s="80"/>
      <c r="H348" s="255">
        <f t="shared" si="68"/>
        <v>0</v>
      </c>
      <c r="I348" s="50">
        <f t="shared" si="58"/>
        <v>0</v>
      </c>
      <c r="J348" s="57">
        <f t="shared" si="69"/>
        <v>0</v>
      </c>
      <c r="K348" s="58">
        <f t="shared" si="70"/>
        <v>0</v>
      </c>
      <c r="L348" s="63">
        <f t="shared" si="67"/>
        <v>0</v>
      </c>
      <c r="M348" s="58">
        <f t="shared" si="71"/>
        <v>0</v>
      </c>
      <c r="N348" s="41"/>
      <c r="O348" s="41"/>
      <c r="P348" s="41"/>
    </row>
    <row r="349" spans="1:16" x14ac:dyDescent="0.2">
      <c r="A349" s="306">
        <v>99350113561</v>
      </c>
      <c r="B349" s="303" t="s">
        <v>530</v>
      </c>
      <c r="C349" s="309" t="s">
        <v>475</v>
      </c>
      <c r="D349" s="307" t="s">
        <v>220</v>
      </c>
      <c r="E349" s="489">
        <v>201.03</v>
      </c>
      <c r="F349" s="80"/>
      <c r="G349" s="80"/>
      <c r="H349" s="255">
        <f t="shared" si="68"/>
        <v>0</v>
      </c>
      <c r="I349" s="50">
        <f t="shared" si="58"/>
        <v>0</v>
      </c>
      <c r="J349" s="57">
        <f t="shared" si="69"/>
        <v>0</v>
      </c>
      <c r="K349" s="58">
        <f t="shared" si="70"/>
        <v>0</v>
      </c>
      <c r="L349" s="63">
        <f t="shared" si="67"/>
        <v>0</v>
      </c>
      <c r="M349" s="58">
        <f t="shared" si="71"/>
        <v>0</v>
      </c>
      <c r="N349" s="41"/>
      <c r="O349" s="41"/>
      <c r="P349" s="41"/>
    </row>
    <row r="350" spans="1:16" x14ac:dyDescent="0.2">
      <c r="A350" s="306">
        <v>99350113566</v>
      </c>
      <c r="B350" s="303" t="s">
        <v>530</v>
      </c>
      <c r="C350" s="309" t="s">
        <v>475</v>
      </c>
      <c r="D350" s="307" t="s">
        <v>240</v>
      </c>
      <c r="E350" s="489">
        <v>201.03</v>
      </c>
      <c r="F350" s="80"/>
      <c r="G350" s="80"/>
      <c r="H350" s="255">
        <f t="shared" si="68"/>
        <v>0</v>
      </c>
      <c r="I350" s="50">
        <f t="shared" ref="I350:I412" si="72">IF(C350="Faltante",0,E350*F350)</f>
        <v>0</v>
      </c>
      <c r="J350" s="57">
        <f t="shared" si="69"/>
        <v>0</v>
      </c>
      <c r="K350" s="58">
        <f t="shared" si="70"/>
        <v>0</v>
      </c>
      <c r="L350" s="63">
        <f t="shared" si="67"/>
        <v>0</v>
      </c>
      <c r="M350" s="58">
        <f t="shared" si="71"/>
        <v>0</v>
      </c>
      <c r="N350" s="41"/>
      <c r="O350" s="41"/>
      <c r="P350" s="41"/>
    </row>
    <row r="351" spans="1:16" x14ac:dyDescent="0.2">
      <c r="A351" s="306">
        <v>99350170515</v>
      </c>
      <c r="B351" s="303" t="s">
        <v>530</v>
      </c>
      <c r="C351" s="309" t="s">
        <v>475</v>
      </c>
      <c r="D351" s="304" t="s">
        <v>455</v>
      </c>
      <c r="E351" s="489">
        <v>201.03</v>
      </c>
      <c r="F351" s="80"/>
      <c r="G351" s="80"/>
      <c r="H351" s="255">
        <f t="shared" si="68"/>
        <v>0</v>
      </c>
      <c r="I351" s="50">
        <f t="shared" si="72"/>
        <v>0</v>
      </c>
      <c r="J351" s="57">
        <f t="shared" si="69"/>
        <v>0</v>
      </c>
      <c r="K351" s="58">
        <f t="shared" si="70"/>
        <v>0</v>
      </c>
      <c r="L351" s="63">
        <f t="shared" si="67"/>
        <v>0</v>
      </c>
      <c r="M351" s="58">
        <f t="shared" si="71"/>
        <v>0</v>
      </c>
      <c r="N351" s="41"/>
      <c r="O351" s="41"/>
      <c r="P351" s="41"/>
    </row>
    <row r="352" spans="1:16" ht="15.75" thickBot="1" x14ac:dyDescent="0.25">
      <c r="A352" s="306">
        <v>99350170510</v>
      </c>
      <c r="B352" s="303" t="s">
        <v>530</v>
      </c>
      <c r="C352" s="309" t="s">
        <v>475</v>
      </c>
      <c r="D352" s="304" t="s">
        <v>458</v>
      </c>
      <c r="E352" s="489">
        <v>201.03</v>
      </c>
      <c r="F352" s="80"/>
      <c r="G352" s="80"/>
      <c r="H352" s="255">
        <f t="shared" si="68"/>
        <v>0</v>
      </c>
      <c r="I352" s="50">
        <f t="shared" si="72"/>
        <v>0</v>
      </c>
      <c r="J352" s="57">
        <f t="shared" si="69"/>
        <v>0</v>
      </c>
      <c r="K352" s="58">
        <f t="shared" si="70"/>
        <v>0</v>
      </c>
      <c r="L352" s="63">
        <f t="shared" si="67"/>
        <v>0</v>
      </c>
      <c r="M352" s="58">
        <f t="shared" si="71"/>
        <v>0</v>
      </c>
      <c r="N352" s="41"/>
      <c r="O352" s="41"/>
      <c r="P352" s="41"/>
    </row>
    <row r="353" spans="1:16" ht="15.75" hidden="1" thickBot="1" x14ac:dyDescent="0.25">
      <c r="A353" s="306"/>
      <c r="B353" s="303"/>
      <c r="C353" s="309" t="e">
        <v>#N/A</v>
      </c>
      <c r="D353" s="304"/>
      <c r="E353" s="489"/>
      <c r="F353" s="80"/>
      <c r="G353" s="80"/>
      <c r="H353" s="255"/>
      <c r="I353" s="50"/>
      <c r="J353" s="57"/>
      <c r="K353" s="58"/>
      <c r="L353" s="63"/>
      <c r="M353" s="58"/>
      <c r="N353" s="41"/>
      <c r="O353" s="41"/>
      <c r="P353" s="41"/>
    </row>
    <row r="354" spans="1:16" ht="15.75" hidden="1" thickBot="1" x14ac:dyDescent="0.25">
      <c r="A354" s="81"/>
      <c r="B354" s="82"/>
      <c r="C354" s="309" t="e">
        <v>#N/A</v>
      </c>
      <c r="D354" s="83"/>
      <c r="E354" s="493"/>
      <c r="F354" s="366"/>
      <c r="G354" s="394"/>
      <c r="H354" s="425"/>
      <c r="I354" s="84"/>
      <c r="J354" s="85"/>
      <c r="K354" s="85"/>
      <c r="L354" s="85"/>
      <c r="M354" s="86"/>
      <c r="N354" s="41"/>
      <c r="O354" s="41"/>
      <c r="P354" s="41"/>
    </row>
    <row r="355" spans="1:16" hidden="1" x14ac:dyDescent="0.2">
      <c r="A355" s="54"/>
      <c r="B355" s="10"/>
      <c r="C355" s="309" t="e">
        <v>#N/A</v>
      </c>
      <c r="D355" s="55"/>
      <c r="E355" s="52"/>
      <c r="F355" s="56"/>
      <c r="G355" s="264"/>
      <c r="H355" s="417"/>
      <c r="I355" s="50"/>
      <c r="J355" s="57"/>
      <c r="K355" s="58"/>
      <c r="L355" s="63"/>
      <c r="M355" s="59"/>
      <c r="N355" s="73"/>
      <c r="O355" s="41"/>
      <c r="P355" s="41"/>
    </row>
    <row r="356" spans="1:16" hidden="1" x14ac:dyDescent="0.2">
      <c r="A356" s="54"/>
      <c r="B356" s="10"/>
      <c r="C356" s="309" t="e">
        <v>#N/A</v>
      </c>
      <c r="D356" s="55"/>
      <c r="E356" s="52"/>
      <c r="F356" s="56"/>
      <c r="G356" s="264"/>
      <c r="H356" s="417"/>
      <c r="I356" s="50"/>
      <c r="J356" s="57"/>
      <c r="K356" s="58"/>
      <c r="L356" s="63"/>
      <c r="M356" s="59"/>
      <c r="N356" s="73"/>
      <c r="O356" s="41"/>
      <c r="P356" s="41"/>
    </row>
    <row r="357" spans="1:16" hidden="1" x14ac:dyDescent="0.2">
      <c r="A357" s="54"/>
      <c r="B357" s="10"/>
      <c r="C357" s="309" t="e">
        <v>#N/A</v>
      </c>
      <c r="D357" s="55"/>
      <c r="E357" s="52"/>
      <c r="F357" s="56"/>
      <c r="G357" s="264"/>
      <c r="H357" s="417"/>
      <c r="I357" s="50"/>
      <c r="J357" s="57"/>
      <c r="K357" s="58"/>
      <c r="L357" s="63"/>
      <c r="M357" s="59"/>
      <c r="N357" s="73"/>
      <c r="O357" s="41"/>
      <c r="P357" s="41"/>
    </row>
    <row r="358" spans="1:16" hidden="1" x14ac:dyDescent="0.2">
      <c r="A358" s="54"/>
      <c r="B358" s="10"/>
      <c r="C358" s="309" t="e">
        <v>#N/A</v>
      </c>
      <c r="D358" s="55"/>
      <c r="E358" s="52"/>
      <c r="F358" s="56"/>
      <c r="G358" s="264"/>
      <c r="H358" s="417"/>
      <c r="I358" s="50"/>
      <c r="J358" s="57"/>
      <c r="K358" s="58"/>
      <c r="L358" s="63"/>
      <c r="M358" s="59"/>
      <c r="N358" s="73"/>
      <c r="O358" s="41"/>
      <c r="P358" s="41"/>
    </row>
    <row r="359" spans="1:16" hidden="1" x14ac:dyDescent="0.2">
      <c r="A359" s="54"/>
      <c r="B359" s="10"/>
      <c r="C359" s="309" t="e">
        <v>#N/A</v>
      </c>
      <c r="D359" s="55"/>
      <c r="E359" s="52"/>
      <c r="F359" s="56"/>
      <c r="G359" s="264"/>
      <c r="H359" s="417"/>
      <c r="I359" s="50"/>
      <c r="J359" s="57"/>
      <c r="K359" s="58"/>
      <c r="L359" s="63"/>
      <c r="M359" s="59"/>
      <c r="N359" s="73"/>
      <c r="O359" s="41"/>
      <c r="P359" s="41"/>
    </row>
    <row r="360" spans="1:16" hidden="1" x14ac:dyDescent="0.2">
      <c r="A360" s="54"/>
      <c r="B360" s="10"/>
      <c r="C360" s="309" t="e">
        <v>#N/A</v>
      </c>
      <c r="D360" s="55"/>
      <c r="E360" s="52"/>
      <c r="F360" s="56"/>
      <c r="G360" s="264"/>
      <c r="H360" s="417"/>
      <c r="I360" s="50"/>
      <c r="J360" s="57"/>
      <c r="K360" s="58"/>
      <c r="L360" s="63"/>
      <c r="M360" s="59"/>
      <c r="N360" s="73"/>
      <c r="O360" s="41"/>
      <c r="P360" s="41"/>
    </row>
    <row r="361" spans="1:16" ht="15.75" hidden="1" thickBot="1" x14ac:dyDescent="0.25">
      <c r="A361" s="54"/>
      <c r="B361" s="10"/>
      <c r="C361" s="309" t="e">
        <v>#N/A</v>
      </c>
      <c r="D361" s="55"/>
      <c r="E361" s="52"/>
      <c r="F361" s="56"/>
      <c r="G361" s="264"/>
      <c r="H361" s="417"/>
      <c r="I361" s="50"/>
      <c r="J361" s="57"/>
      <c r="K361" s="58"/>
      <c r="L361" s="63"/>
      <c r="M361" s="59"/>
      <c r="N361" s="73"/>
      <c r="O361" s="41"/>
      <c r="P361" s="41"/>
    </row>
    <row r="362" spans="1:16" ht="15.75" thickBot="1" x14ac:dyDescent="0.25">
      <c r="A362" s="299"/>
      <c r="B362" s="300"/>
      <c r="C362" s="309" t="e">
        <v>#N/A</v>
      </c>
      <c r="D362" s="301"/>
      <c r="E362" s="494"/>
      <c r="F362" s="367"/>
      <c r="G362" s="395"/>
      <c r="H362" s="426"/>
      <c r="I362" s="426"/>
      <c r="J362" s="426"/>
      <c r="K362" s="426"/>
      <c r="L362" s="426"/>
      <c r="M362" s="426"/>
      <c r="N362" s="87"/>
      <c r="O362" s="41"/>
      <c r="P362" s="41"/>
    </row>
    <row r="363" spans="1:16" ht="15" customHeight="1" x14ac:dyDescent="0.2">
      <c r="A363" s="302">
        <v>99350170981</v>
      </c>
      <c r="B363" s="303" t="s">
        <v>28</v>
      </c>
      <c r="C363" s="309">
        <v>0</v>
      </c>
      <c r="D363" s="55" t="s">
        <v>529</v>
      </c>
      <c r="E363" s="52">
        <v>251.96</v>
      </c>
      <c r="F363" s="56"/>
      <c r="G363" s="542"/>
      <c r="H363" s="417">
        <f>(F363+G363)</f>
        <v>0</v>
      </c>
      <c r="I363" s="50">
        <f t="shared" si="72"/>
        <v>0</v>
      </c>
      <c r="J363" s="57">
        <f>I363*$M$15</f>
        <v>0</v>
      </c>
      <c r="K363" s="58">
        <f>I363-J363</f>
        <v>0</v>
      </c>
      <c r="L363" s="63">
        <f>K363*$P$5</f>
        <v>0</v>
      </c>
      <c r="M363" s="59">
        <f>K363+L363</f>
        <v>0</v>
      </c>
      <c r="N363" s="87"/>
      <c r="O363" s="41"/>
      <c r="P363" s="41"/>
    </row>
    <row r="364" spans="1:16" ht="15" customHeight="1" thickBot="1" x14ac:dyDescent="0.25">
      <c r="A364" s="54">
        <v>4015600022860</v>
      </c>
      <c r="B364" s="10" t="s">
        <v>28</v>
      </c>
      <c r="C364" s="309" t="s">
        <v>475</v>
      </c>
      <c r="D364" s="55" t="s">
        <v>241</v>
      </c>
      <c r="E364" s="52">
        <v>251.96</v>
      </c>
      <c r="F364" s="56"/>
      <c r="G364" s="543"/>
      <c r="H364" s="417">
        <f t="shared" ref="H364:H383" si="73">(F364+G364)</f>
        <v>0</v>
      </c>
      <c r="I364" s="50">
        <f t="shared" si="72"/>
        <v>0</v>
      </c>
      <c r="J364" s="57">
        <f t="shared" ref="J364:J383" si="74">I364*$M$15</f>
        <v>0</v>
      </c>
      <c r="K364" s="58">
        <f t="shared" ref="K364:K383" si="75">I364-J364</f>
        <v>0</v>
      </c>
      <c r="L364" s="63">
        <f t="shared" si="67"/>
        <v>0</v>
      </c>
      <c r="M364" s="59">
        <f t="shared" ref="M364:M383" si="76">K364+L364</f>
        <v>0</v>
      </c>
      <c r="N364" s="88"/>
      <c r="O364" s="41"/>
      <c r="P364" s="41"/>
    </row>
    <row r="365" spans="1:16" ht="15" customHeight="1" thickBot="1" x14ac:dyDescent="0.25">
      <c r="A365" s="299"/>
      <c r="B365" s="300"/>
      <c r="C365" s="309" t="e">
        <v>#N/A</v>
      </c>
      <c r="D365" s="301" t="s">
        <v>543</v>
      </c>
      <c r="E365" s="494"/>
      <c r="F365" s="367"/>
      <c r="G365" s="544"/>
      <c r="H365" s="426"/>
      <c r="I365" s="426"/>
      <c r="J365" s="426"/>
      <c r="K365" s="426"/>
      <c r="L365" s="426"/>
      <c r="M365" s="426"/>
      <c r="N365" s="88"/>
      <c r="O365" s="41"/>
      <c r="P365" s="41"/>
    </row>
    <row r="366" spans="1:16" s="79" customFormat="1" ht="15" customHeight="1" x14ac:dyDescent="0.15">
      <c r="A366" s="54">
        <v>99350184314</v>
      </c>
      <c r="B366" s="10" t="s">
        <v>28</v>
      </c>
      <c r="C366" s="309" t="s">
        <v>475</v>
      </c>
      <c r="D366" s="55" t="s">
        <v>433</v>
      </c>
      <c r="E366" s="52">
        <v>251.96</v>
      </c>
      <c r="F366" s="80"/>
      <c r="G366" s="545"/>
      <c r="H366" s="255">
        <f t="shared" si="73"/>
        <v>0</v>
      </c>
      <c r="I366" s="50">
        <f t="shared" si="72"/>
        <v>0</v>
      </c>
      <c r="J366" s="57">
        <f t="shared" si="74"/>
        <v>0</v>
      </c>
      <c r="K366" s="58">
        <f t="shared" si="75"/>
        <v>0</v>
      </c>
      <c r="L366" s="63">
        <f t="shared" si="67"/>
        <v>0</v>
      </c>
      <c r="M366" s="58">
        <f t="shared" si="76"/>
        <v>0</v>
      </c>
      <c r="N366" s="256"/>
      <c r="P366" s="186"/>
    </row>
    <row r="367" spans="1:16" s="79" customFormat="1" ht="15" customHeight="1" x14ac:dyDescent="0.15">
      <c r="A367" s="54">
        <v>99350184322</v>
      </c>
      <c r="B367" s="10" t="s">
        <v>28</v>
      </c>
      <c r="C367" s="309" t="s">
        <v>475</v>
      </c>
      <c r="D367" s="55" t="s">
        <v>434</v>
      </c>
      <c r="E367" s="52">
        <v>251.96</v>
      </c>
      <c r="F367" s="80"/>
      <c r="G367" s="545"/>
      <c r="H367" s="255">
        <f t="shared" si="73"/>
        <v>0</v>
      </c>
      <c r="I367" s="50">
        <f t="shared" si="72"/>
        <v>0</v>
      </c>
      <c r="J367" s="57">
        <f t="shared" si="74"/>
        <v>0</v>
      </c>
      <c r="K367" s="58">
        <f t="shared" si="75"/>
        <v>0</v>
      </c>
      <c r="L367" s="63">
        <f t="shared" si="67"/>
        <v>0</v>
      </c>
      <c r="M367" s="58">
        <f t="shared" si="76"/>
        <v>0</v>
      </c>
      <c r="N367" s="256"/>
      <c r="P367" s="186"/>
    </row>
    <row r="368" spans="1:16" s="79" customFormat="1" ht="15" customHeight="1" x14ac:dyDescent="0.15">
      <c r="A368" s="54">
        <v>99350176757</v>
      </c>
      <c r="B368" s="10" t="s">
        <v>28</v>
      </c>
      <c r="C368" s="309" t="s">
        <v>475</v>
      </c>
      <c r="D368" s="55" t="s">
        <v>435</v>
      </c>
      <c r="E368" s="52">
        <v>251.96</v>
      </c>
      <c r="F368" s="80"/>
      <c r="G368" s="545"/>
      <c r="H368" s="255">
        <f t="shared" si="73"/>
        <v>0</v>
      </c>
      <c r="I368" s="50">
        <f t="shared" si="72"/>
        <v>0</v>
      </c>
      <c r="J368" s="57">
        <f t="shared" si="74"/>
        <v>0</v>
      </c>
      <c r="K368" s="58">
        <f t="shared" si="75"/>
        <v>0</v>
      </c>
      <c r="L368" s="63">
        <f t="shared" si="67"/>
        <v>0</v>
      </c>
      <c r="M368" s="58">
        <f t="shared" si="76"/>
        <v>0</v>
      </c>
      <c r="N368" s="256"/>
      <c r="P368" s="186"/>
    </row>
    <row r="369" spans="1:16" s="79" customFormat="1" ht="15" customHeight="1" x14ac:dyDescent="0.15">
      <c r="A369" s="54">
        <v>99350176753</v>
      </c>
      <c r="B369" s="10" t="s">
        <v>28</v>
      </c>
      <c r="C369" s="309" t="s">
        <v>475</v>
      </c>
      <c r="D369" s="55" t="s">
        <v>445</v>
      </c>
      <c r="E369" s="52">
        <v>251.96</v>
      </c>
      <c r="F369" s="80"/>
      <c r="G369" s="545"/>
      <c r="H369" s="255">
        <f>(F369+G369)</f>
        <v>0</v>
      </c>
      <c r="I369" s="50">
        <f t="shared" si="72"/>
        <v>0</v>
      </c>
      <c r="J369" s="57">
        <f>I369*$M$15</f>
        <v>0</v>
      </c>
      <c r="K369" s="58">
        <f>I369-J369</f>
        <v>0</v>
      </c>
      <c r="L369" s="63">
        <f t="shared" si="67"/>
        <v>0</v>
      </c>
      <c r="M369" s="58">
        <f>K369+L369</f>
        <v>0</v>
      </c>
      <c r="N369" s="256"/>
      <c r="P369" s="186"/>
    </row>
    <row r="370" spans="1:16" s="79" customFormat="1" ht="15" customHeight="1" x14ac:dyDescent="0.15">
      <c r="A370" s="54">
        <v>99350176754</v>
      </c>
      <c r="B370" s="10" t="s">
        <v>28</v>
      </c>
      <c r="C370" s="309" t="s">
        <v>475</v>
      </c>
      <c r="D370" s="55" t="s">
        <v>446</v>
      </c>
      <c r="E370" s="52">
        <v>251.96</v>
      </c>
      <c r="F370" s="80"/>
      <c r="G370" s="545"/>
      <c r="H370" s="255">
        <f>(F370+G370)</f>
        <v>0</v>
      </c>
      <c r="I370" s="50">
        <f t="shared" si="72"/>
        <v>0</v>
      </c>
      <c r="J370" s="57">
        <f>I370*$M$15</f>
        <v>0</v>
      </c>
      <c r="K370" s="58">
        <f>I370-J370</f>
        <v>0</v>
      </c>
      <c r="L370" s="63">
        <f t="shared" si="67"/>
        <v>0</v>
      </c>
      <c r="M370" s="58">
        <f>K370+L370</f>
        <v>0</v>
      </c>
      <c r="N370" s="256"/>
      <c r="P370" s="186"/>
    </row>
    <row r="371" spans="1:16" s="79" customFormat="1" ht="15" customHeight="1" thickBot="1" x14ac:dyDescent="0.2">
      <c r="A371" s="54">
        <v>99350176058</v>
      </c>
      <c r="B371" s="10" t="s">
        <v>28</v>
      </c>
      <c r="C371" s="309" t="s">
        <v>475</v>
      </c>
      <c r="D371" s="269" t="s">
        <v>461</v>
      </c>
      <c r="E371" s="52">
        <v>650</v>
      </c>
      <c r="F371" s="80"/>
      <c r="G371" s="545"/>
      <c r="H371" s="255">
        <f>(F371+G371)</f>
        <v>0</v>
      </c>
      <c r="I371" s="50">
        <f t="shared" si="72"/>
        <v>0</v>
      </c>
      <c r="J371" s="57">
        <f>I371*$M$15</f>
        <v>0</v>
      </c>
      <c r="K371" s="58">
        <f>I371-J371</f>
        <v>0</v>
      </c>
      <c r="L371" s="63">
        <f t="shared" si="67"/>
        <v>0</v>
      </c>
      <c r="M371" s="58">
        <f>K371+L371</f>
        <v>0</v>
      </c>
      <c r="N371" s="256"/>
      <c r="P371" s="186"/>
    </row>
    <row r="372" spans="1:16" s="79" customFormat="1" ht="15" customHeight="1" thickBot="1" x14ac:dyDescent="0.2">
      <c r="A372" s="299"/>
      <c r="B372" s="300"/>
      <c r="C372" s="309" t="e">
        <v>#N/A</v>
      </c>
      <c r="D372" s="301" t="s">
        <v>527</v>
      </c>
      <c r="E372" s="494"/>
      <c r="F372" s="367"/>
      <c r="G372" s="544"/>
      <c r="H372" s="426"/>
      <c r="I372" s="426"/>
      <c r="J372" s="426"/>
      <c r="K372" s="426"/>
      <c r="L372" s="426"/>
      <c r="M372" s="426"/>
      <c r="N372" s="256"/>
      <c r="P372" s="186"/>
    </row>
    <row r="373" spans="1:16" ht="15" customHeight="1" x14ac:dyDescent="0.2">
      <c r="A373" s="54">
        <v>99350120254</v>
      </c>
      <c r="B373" s="10" t="s">
        <v>29</v>
      </c>
      <c r="C373" s="309">
        <v>0</v>
      </c>
      <c r="D373" s="55" t="s">
        <v>649</v>
      </c>
      <c r="E373" s="52">
        <v>251.96</v>
      </c>
      <c r="F373" s="56"/>
      <c r="G373" s="543"/>
      <c r="H373" s="255">
        <f>(F373+G373)</f>
        <v>0</v>
      </c>
      <c r="I373" s="50">
        <f t="shared" si="72"/>
        <v>0</v>
      </c>
      <c r="J373" s="57">
        <f>I373*$M$15</f>
        <v>0</v>
      </c>
      <c r="K373" s="58">
        <f>I373-J373</f>
        <v>0</v>
      </c>
      <c r="L373" s="63">
        <f t="shared" ref="L373" si="77">K373*$P$5</f>
        <v>0</v>
      </c>
      <c r="M373" s="58">
        <f>K373+L373</f>
        <v>0</v>
      </c>
      <c r="N373" s="89"/>
      <c r="O373" s="79"/>
      <c r="P373" s="79"/>
    </row>
    <row r="374" spans="1:16" ht="15" customHeight="1" x14ac:dyDescent="0.2">
      <c r="A374" s="54">
        <v>4015600059576</v>
      </c>
      <c r="B374" s="10" t="s">
        <v>29</v>
      </c>
      <c r="C374" s="309" t="s">
        <v>475</v>
      </c>
      <c r="D374" s="55" t="s">
        <v>242</v>
      </c>
      <c r="E374" s="52">
        <v>251.96</v>
      </c>
      <c r="F374" s="56"/>
      <c r="G374" s="543"/>
      <c r="H374" s="417">
        <f t="shared" si="73"/>
        <v>0</v>
      </c>
      <c r="I374" s="50">
        <f t="shared" si="72"/>
        <v>0</v>
      </c>
      <c r="J374" s="57">
        <f t="shared" si="74"/>
        <v>0</v>
      </c>
      <c r="K374" s="58">
        <f t="shared" si="75"/>
        <v>0</v>
      </c>
      <c r="L374" s="63">
        <f t="shared" si="67"/>
        <v>0</v>
      </c>
      <c r="M374" s="58">
        <f t="shared" ref="M374:M376" si="78">K374+L374</f>
        <v>0</v>
      </c>
      <c r="N374" s="89"/>
      <c r="O374" s="79"/>
      <c r="P374" s="79"/>
    </row>
    <row r="375" spans="1:16" ht="15" customHeight="1" x14ac:dyDescent="0.2">
      <c r="A375" s="54">
        <v>99350182147</v>
      </c>
      <c r="B375" s="10" t="s">
        <v>29</v>
      </c>
      <c r="C375" s="309" t="s">
        <v>475</v>
      </c>
      <c r="D375" s="55" t="s">
        <v>525</v>
      </c>
      <c r="E375" s="52">
        <v>650</v>
      </c>
      <c r="F375" s="56"/>
      <c r="G375" s="543"/>
      <c r="H375" s="417">
        <f>(F375+G375)</f>
        <v>0</v>
      </c>
      <c r="I375" s="50">
        <f t="shared" si="72"/>
        <v>0</v>
      </c>
      <c r="J375" s="57">
        <f>I375*$M$15</f>
        <v>0</v>
      </c>
      <c r="K375" s="58">
        <f>I375-J375</f>
        <v>0</v>
      </c>
      <c r="L375" s="63">
        <f>K375*$P$5</f>
        <v>0</v>
      </c>
      <c r="M375" s="58">
        <f t="shared" si="78"/>
        <v>0</v>
      </c>
      <c r="N375" s="89"/>
      <c r="O375" s="79"/>
      <c r="P375" s="79"/>
    </row>
    <row r="376" spans="1:16" ht="15" customHeight="1" thickBot="1" x14ac:dyDescent="0.25">
      <c r="A376" s="54">
        <v>99350182148</v>
      </c>
      <c r="B376" s="10" t="s">
        <v>29</v>
      </c>
      <c r="C376" s="309" t="s">
        <v>475</v>
      </c>
      <c r="D376" s="55" t="s">
        <v>526</v>
      </c>
      <c r="E376" s="52">
        <v>650</v>
      </c>
      <c r="F376" s="56"/>
      <c r="G376" s="543"/>
      <c r="H376" s="417">
        <f>(F376+G376)</f>
        <v>0</v>
      </c>
      <c r="I376" s="50">
        <f t="shared" si="72"/>
        <v>0</v>
      </c>
      <c r="J376" s="57">
        <f>I376*$M$15</f>
        <v>0</v>
      </c>
      <c r="K376" s="58">
        <f>I376-J376</f>
        <v>0</v>
      </c>
      <c r="L376" s="63">
        <f>K376*$P$5</f>
        <v>0</v>
      </c>
      <c r="M376" s="58">
        <f t="shared" si="78"/>
        <v>0</v>
      </c>
      <c r="N376" s="89"/>
      <c r="O376" s="79"/>
      <c r="P376" s="79"/>
    </row>
    <row r="377" spans="1:16" ht="15" customHeight="1" thickBot="1" x14ac:dyDescent="0.25">
      <c r="A377" s="299"/>
      <c r="B377" s="300"/>
      <c r="C377" s="309" t="e">
        <v>#N/A</v>
      </c>
      <c r="D377" s="301" t="s">
        <v>31</v>
      </c>
      <c r="E377" s="494"/>
      <c r="F377" s="367"/>
      <c r="G377" s="544"/>
      <c r="H377" s="426"/>
      <c r="I377" s="426"/>
      <c r="J377" s="426"/>
      <c r="K377" s="426"/>
      <c r="L377" s="426"/>
      <c r="M377" s="426"/>
      <c r="N377" s="89"/>
      <c r="O377" s="79"/>
      <c r="P377" s="79"/>
    </row>
    <row r="378" spans="1:16" ht="15" customHeight="1" x14ac:dyDescent="0.2">
      <c r="A378" s="54">
        <v>99350110380</v>
      </c>
      <c r="B378" s="10" t="s">
        <v>31</v>
      </c>
      <c r="C378" s="309" t="s">
        <v>475</v>
      </c>
      <c r="D378" s="55" t="s">
        <v>243</v>
      </c>
      <c r="E378" s="52">
        <v>251.96</v>
      </c>
      <c r="F378" s="80"/>
      <c r="G378" s="545"/>
      <c r="H378" s="255">
        <f t="shared" si="73"/>
        <v>0</v>
      </c>
      <c r="I378" s="50">
        <f t="shared" si="72"/>
        <v>0</v>
      </c>
      <c r="J378" s="57">
        <f t="shared" si="74"/>
        <v>0</v>
      </c>
      <c r="K378" s="58">
        <f t="shared" si="75"/>
        <v>0</v>
      </c>
      <c r="L378" s="63">
        <f t="shared" si="67"/>
        <v>0</v>
      </c>
      <c r="M378" s="58">
        <f t="shared" si="76"/>
        <v>0</v>
      </c>
      <c r="N378" s="87"/>
      <c r="O378" s="41"/>
      <c r="P378" s="41"/>
    </row>
    <row r="379" spans="1:16" ht="15.75" thickBot="1" x14ac:dyDescent="0.25">
      <c r="A379" s="54">
        <v>99350170135</v>
      </c>
      <c r="B379" s="10" t="s">
        <v>31</v>
      </c>
      <c r="C379" s="309" t="s">
        <v>475</v>
      </c>
      <c r="D379" s="55" t="s">
        <v>244</v>
      </c>
      <c r="E379" s="52">
        <v>251.96</v>
      </c>
      <c r="F379" s="80"/>
      <c r="G379" s="545"/>
      <c r="H379" s="255">
        <f t="shared" si="73"/>
        <v>0</v>
      </c>
      <c r="I379" s="50">
        <f t="shared" si="72"/>
        <v>0</v>
      </c>
      <c r="J379" s="57">
        <f t="shared" si="74"/>
        <v>0</v>
      </c>
      <c r="K379" s="58">
        <f t="shared" si="75"/>
        <v>0</v>
      </c>
      <c r="L379" s="63">
        <f t="shared" si="67"/>
        <v>0</v>
      </c>
      <c r="M379" s="58">
        <f t="shared" si="76"/>
        <v>0</v>
      </c>
      <c r="N379" s="87"/>
      <c r="O379" s="41"/>
      <c r="P379" s="41"/>
    </row>
    <row r="380" spans="1:16" ht="15.75" thickBot="1" x14ac:dyDescent="0.25">
      <c r="A380" s="299"/>
      <c r="B380" s="300"/>
      <c r="C380" s="309" t="e">
        <v>#N/A</v>
      </c>
      <c r="D380" s="301" t="s">
        <v>528</v>
      </c>
      <c r="E380" s="494"/>
      <c r="F380" s="367"/>
      <c r="G380" s="544"/>
      <c r="H380" s="426"/>
      <c r="I380" s="426"/>
      <c r="J380" s="426"/>
      <c r="K380" s="426"/>
      <c r="L380" s="426"/>
      <c r="M380" s="426"/>
      <c r="N380" s="87"/>
      <c r="O380" s="41"/>
      <c r="P380" s="41"/>
    </row>
    <row r="381" spans="1:16" x14ac:dyDescent="0.2">
      <c r="A381" s="54">
        <v>4084500189683</v>
      </c>
      <c r="B381" s="10" t="s">
        <v>33</v>
      </c>
      <c r="C381" s="309" t="s">
        <v>535</v>
      </c>
      <c r="D381" s="55" t="s">
        <v>245</v>
      </c>
      <c r="E381" s="52">
        <v>412.34399999999999</v>
      </c>
      <c r="F381" s="56"/>
      <c r="G381" s="543"/>
      <c r="H381" s="427">
        <f t="shared" si="73"/>
        <v>0</v>
      </c>
      <c r="I381" s="50">
        <f t="shared" si="72"/>
        <v>0</v>
      </c>
      <c r="J381" s="57">
        <f t="shared" si="74"/>
        <v>0</v>
      </c>
      <c r="K381" s="58">
        <f t="shared" si="75"/>
        <v>0</v>
      </c>
      <c r="L381" s="63">
        <f t="shared" si="67"/>
        <v>0</v>
      </c>
      <c r="M381" s="59">
        <f t="shared" si="76"/>
        <v>0</v>
      </c>
      <c r="N381" s="92"/>
      <c r="O381" s="41"/>
      <c r="P381" s="41"/>
    </row>
    <row r="382" spans="1:16" x14ac:dyDescent="0.2">
      <c r="A382" s="54">
        <v>4084500189966</v>
      </c>
      <c r="B382" s="10" t="s">
        <v>33</v>
      </c>
      <c r="C382" s="309" t="s">
        <v>535</v>
      </c>
      <c r="D382" s="55" t="s">
        <v>246</v>
      </c>
      <c r="E382" s="52">
        <v>412.34399999999999</v>
      </c>
      <c r="F382" s="56"/>
      <c r="G382" s="543"/>
      <c r="H382" s="427">
        <f t="shared" si="73"/>
        <v>0</v>
      </c>
      <c r="I382" s="50">
        <f t="shared" si="72"/>
        <v>0</v>
      </c>
      <c r="J382" s="57">
        <f t="shared" si="74"/>
        <v>0</v>
      </c>
      <c r="K382" s="58">
        <f t="shared" si="75"/>
        <v>0</v>
      </c>
      <c r="L382" s="63">
        <f t="shared" si="67"/>
        <v>0</v>
      </c>
      <c r="M382" s="59">
        <f t="shared" si="76"/>
        <v>0</v>
      </c>
      <c r="N382" s="92"/>
      <c r="O382" s="41"/>
      <c r="P382" s="41"/>
    </row>
    <row r="383" spans="1:16" ht="15.75" thickBot="1" x14ac:dyDescent="0.25">
      <c r="A383" s="90">
        <v>4084500190122</v>
      </c>
      <c r="B383" s="10" t="s">
        <v>33</v>
      </c>
      <c r="C383" s="309" t="s">
        <v>475</v>
      </c>
      <c r="D383" s="91" t="s">
        <v>247</v>
      </c>
      <c r="E383" s="52">
        <v>412.34399999999999</v>
      </c>
      <c r="F383" s="368"/>
      <c r="G383" s="543"/>
      <c r="H383" s="427">
        <f t="shared" si="73"/>
        <v>0</v>
      </c>
      <c r="I383" s="50">
        <f t="shared" si="72"/>
        <v>0</v>
      </c>
      <c r="J383" s="57">
        <f t="shared" si="74"/>
        <v>0</v>
      </c>
      <c r="K383" s="58">
        <f t="shared" si="75"/>
        <v>0</v>
      </c>
      <c r="L383" s="63">
        <f t="shared" si="67"/>
        <v>0</v>
      </c>
      <c r="M383" s="59">
        <f t="shared" si="76"/>
        <v>0</v>
      </c>
      <c r="N383" s="92"/>
      <c r="O383" s="41"/>
      <c r="P383" s="41"/>
    </row>
    <row r="384" spans="1:16" ht="15.75" thickBot="1" x14ac:dyDescent="0.25">
      <c r="A384" s="93"/>
      <c r="B384" s="94"/>
      <c r="C384" s="309" t="e">
        <v>#N/A</v>
      </c>
      <c r="D384" s="95" t="s">
        <v>248</v>
      </c>
      <c r="E384" s="495"/>
      <c r="F384" s="369"/>
      <c r="G384" s="546"/>
      <c r="H384" s="428"/>
      <c r="I384" s="96"/>
      <c r="J384" s="96"/>
      <c r="K384" s="96"/>
      <c r="L384" s="96"/>
      <c r="M384" s="97"/>
      <c r="N384" s="92"/>
      <c r="O384" s="41"/>
      <c r="P384" s="41"/>
    </row>
    <row r="385" spans="1:16" x14ac:dyDescent="0.2">
      <c r="A385" s="98">
        <v>4015600092641</v>
      </c>
      <c r="B385" s="10" t="s">
        <v>34</v>
      </c>
      <c r="C385" s="309" t="s">
        <v>475</v>
      </c>
      <c r="D385" s="99" t="s">
        <v>249</v>
      </c>
      <c r="E385" s="52">
        <v>602.91</v>
      </c>
      <c r="F385" s="370"/>
      <c r="G385" s="545"/>
      <c r="H385" s="429">
        <f t="shared" ref="H385:H396" si="79">(F385+G385)</f>
        <v>0</v>
      </c>
      <c r="I385" s="50">
        <f t="shared" si="72"/>
        <v>0</v>
      </c>
      <c r="J385" s="100">
        <f>I385*$M$15</f>
        <v>0</v>
      </c>
      <c r="K385" s="101">
        <f>I385-J385</f>
        <v>0</v>
      </c>
      <c r="L385" s="63">
        <f t="shared" si="67"/>
        <v>0</v>
      </c>
      <c r="M385" s="102">
        <f>K385+L385</f>
        <v>0</v>
      </c>
      <c r="N385" s="92"/>
      <c r="O385" s="41"/>
      <c r="P385" s="41"/>
    </row>
    <row r="386" spans="1:16" x14ac:dyDescent="0.2">
      <c r="A386" s="54">
        <v>4015600092689</v>
      </c>
      <c r="B386" s="10" t="s">
        <v>36</v>
      </c>
      <c r="C386" s="309" t="s">
        <v>475</v>
      </c>
      <c r="D386" s="55" t="s">
        <v>250</v>
      </c>
      <c r="E386" s="52">
        <v>1011.78</v>
      </c>
      <c r="F386" s="62"/>
      <c r="G386" s="545"/>
      <c r="H386" s="427">
        <f>(F386+G386)</f>
        <v>0</v>
      </c>
      <c r="I386" s="50">
        <f t="shared" si="72"/>
        <v>0</v>
      </c>
      <c r="J386" s="57">
        <f>I386*$M$15</f>
        <v>0</v>
      </c>
      <c r="K386" s="58">
        <f>I386-J386</f>
        <v>0</v>
      </c>
      <c r="L386" s="63">
        <f t="shared" si="67"/>
        <v>0</v>
      </c>
      <c r="M386" s="59">
        <f>K386+L386</f>
        <v>0</v>
      </c>
      <c r="N386" s="92"/>
      <c r="O386" s="41"/>
      <c r="P386" s="41"/>
    </row>
    <row r="387" spans="1:16" x14ac:dyDescent="0.2">
      <c r="A387" s="54">
        <v>99350139151</v>
      </c>
      <c r="B387" s="10" t="s">
        <v>38</v>
      </c>
      <c r="C387" s="309" t="s">
        <v>475</v>
      </c>
      <c r="D387" s="55" t="s">
        <v>251</v>
      </c>
      <c r="E387" s="52">
        <v>1214.1400000000001</v>
      </c>
      <c r="F387" s="62"/>
      <c r="G387" s="545"/>
      <c r="H387" s="427">
        <f>(F387+G387)</f>
        <v>0</v>
      </c>
      <c r="I387" s="50">
        <f t="shared" si="72"/>
        <v>0</v>
      </c>
      <c r="J387" s="57">
        <f>I387*$M$15</f>
        <v>0</v>
      </c>
      <c r="K387" s="58">
        <f>I387-J387</f>
        <v>0</v>
      </c>
      <c r="L387" s="63">
        <f t="shared" si="67"/>
        <v>0</v>
      </c>
      <c r="M387" s="59">
        <f>K387+L387</f>
        <v>0</v>
      </c>
      <c r="N387" s="92"/>
      <c r="O387" s="41"/>
      <c r="P387" s="41"/>
    </row>
    <row r="388" spans="1:16" hidden="1" x14ac:dyDescent="0.2">
      <c r="A388" s="60"/>
      <c r="B388" s="10"/>
      <c r="C388" s="309" t="e">
        <v>#N/A</v>
      </c>
      <c r="D388" s="61"/>
      <c r="E388" s="52"/>
      <c r="F388" s="62"/>
      <c r="G388" s="545"/>
      <c r="H388" s="427">
        <f t="shared" si="79"/>
        <v>0</v>
      </c>
      <c r="I388" s="50" t="e">
        <f t="shared" si="72"/>
        <v>#N/A</v>
      </c>
      <c r="J388" s="57" t="e">
        <f>I388*$M$15</f>
        <v>#N/A</v>
      </c>
      <c r="K388" s="58" t="e">
        <f>I388-J388</f>
        <v>#N/A</v>
      </c>
      <c r="L388" s="63" t="e">
        <f t="shared" si="67"/>
        <v>#N/A</v>
      </c>
      <c r="M388" s="59" t="e">
        <f>K388+L388</f>
        <v>#N/A</v>
      </c>
      <c r="N388" s="73"/>
      <c r="O388" s="41"/>
      <c r="P388" s="41"/>
    </row>
    <row r="389" spans="1:16" ht="15.75" thickBot="1" x14ac:dyDescent="0.25">
      <c r="A389" s="54">
        <v>4084500380752</v>
      </c>
      <c r="B389" s="10" t="s">
        <v>40</v>
      </c>
      <c r="C389" s="309" t="s">
        <v>535</v>
      </c>
      <c r="D389" s="55" t="s">
        <v>252</v>
      </c>
      <c r="E389" s="52">
        <v>1148.4000000000001</v>
      </c>
      <c r="F389" s="62"/>
      <c r="G389" s="545"/>
      <c r="H389" s="427">
        <f t="shared" si="79"/>
        <v>0</v>
      </c>
      <c r="I389" s="50">
        <f t="shared" si="72"/>
        <v>0</v>
      </c>
      <c r="J389" s="57">
        <f>I389*$M$15</f>
        <v>0</v>
      </c>
      <c r="K389" s="58">
        <f>I389-J389</f>
        <v>0</v>
      </c>
      <c r="L389" s="63">
        <f t="shared" si="67"/>
        <v>0</v>
      </c>
      <c r="M389" s="59">
        <f>K389+L389</f>
        <v>0</v>
      </c>
      <c r="N389" s="73"/>
      <c r="O389" s="41"/>
      <c r="P389" s="41"/>
    </row>
    <row r="390" spans="1:16" ht="15.75" thickBot="1" x14ac:dyDescent="0.25">
      <c r="A390" s="103"/>
      <c r="B390" s="104"/>
      <c r="C390" s="309" t="e">
        <v>#N/A</v>
      </c>
      <c r="D390" s="105" t="s">
        <v>41</v>
      </c>
      <c r="E390" s="496"/>
      <c r="F390" s="371"/>
      <c r="G390" s="547"/>
      <c r="H390" s="430"/>
      <c r="I390" s="106"/>
      <c r="J390" s="106"/>
      <c r="K390" s="106"/>
      <c r="L390" s="106"/>
      <c r="M390" s="107"/>
      <c r="N390" s="73"/>
      <c r="O390" s="41"/>
      <c r="P390" s="41"/>
    </row>
    <row r="391" spans="1:16" x14ac:dyDescent="0.2">
      <c r="A391" s="54">
        <v>99350112178</v>
      </c>
      <c r="B391" s="108" t="s">
        <v>41</v>
      </c>
      <c r="C391" s="309" t="s">
        <v>475</v>
      </c>
      <c r="D391" s="99" t="s">
        <v>253</v>
      </c>
      <c r="E391" s="52">
        <v>2998.74</v>
      </c>
      <c r="F391" s="56"/>
      <c r="G391" s="543"/>
      <c r="H391" s="417">
        <f>(F391+G391)</f>
        <v>0</v>
      </c>
      <c r="I391" s="50">
        <f t="shared" si="72"/>
        <v>0</v>
      </c>
      <c r="J391" s="57">
        <f>I391*$M$28</f>
        <v>0</v>
      </c>
      <c r="K391" s="58">
        <f>I391-J391</f>
        <v>0</v>
      </c>
      <c r="L391" s="57">
        <f>K391*$P$5</f>
        <v>0</v>
      </c>
      <c r="M391" s="59">
        <f>K391+L391</f>
        <v>0</v>
      </c>
      <c r="N391" s="73"/>
      <c r="O391" s="41"/>
      <c r="P391" s="41"/>
    </row>
    <row r="392" spans="1:16" ht="15.75" thickBot="1" x14ac:dyDescent="0.25">
      <c r="A392" s="54">
        <v>99240107513</v>
      </c>
      <c r="B392" s="108" t="s">
        <v>41</v>
      </c>
      <c r="C392" s="309" t="s">
        <v>621</v>
      </c>
      <c r="D392" s="55" t="s">
        <v>254</v>
      </c>
      <c r="E392" s="52">
        <v>1504.03</v>
      </c>
      <c r="F392" s="56"/>
      <c r="G392" s="543"/>
      <c r="H392" s="417">
        <f>(F392+G392)</f>
        <v>0</v>
      </c>
      <c r="I392" s="50">
        <f t="shared" si="72"/>
        <v>0</v>
      </c>
      <c r="J392" s="57">
        <f>I392*$M$28</f>
        <v>0</v>
      </c>
      <c r="K392" s="58">
        <f>I392-J392</f>
        <v>0</v>
      </c>
      <c r="L392" s="57">
        <f>K392*$P$5</f>
        <v>0</v>
      </c>
      <c r="M392" s="59">
        <f>K392+L392</f>
        <v>0</v>
      </c>
      <c r="N392" s="92"/>
      <c r="O392" s="41"/>
      <c r="P392" s="41"/>
    </row>
    <row r="393" spans="1:16" ht="15.75" thickBot="1" x14ac:dyDescent="0.25">
      <c r="A393" s="71"/>
      <c r="B393" s="72"/>
      <c r="C393" s="309" t="e">
        <v>#N/A</v>
      </c>
      <c r="D393" s="43" t="s">
        <v>255</v>
      </c>
      <c r="E393" s="497"/>
      <c r="F393" s="372"/>
      <c r="G393" s="71"/>
      <c r="H393" s="109"/>
      <c r="I393" s="109"/>
      <c r="J393" s="109"/>
      <c r="K393" s="109"/>
      <c r="L393" s="109"/>
      <c r="M393" s="110"/>
      <c r="N393" s="92"/>
      <c r="O393" s="41"/>
      <c r="P393" s="112"/>
    </row>
    <row r="394" spans="1:16" hidden="1" x14ac:dyDescent="0.2">
      <c r="A394" s="47">
        <v>7506339304282</v>
      </c>
      <c r="B394" s="10" t="s">
        <v>42</v>
      </c>
      <c r="C394" s="309" t="s">
        <v>475</v>
      </c>
      <c r="D394" s="48" t="s">
        <v>256</v>
      </c>
      <c r="E394" s="52">
        <v>243.21000000000004</v>
      </c>
      <c r="F394" s="111"/>
      <c r="G394" s="548"/>
      <c r="H394" s="417">
        <f t="shared" si="79"/>
        <v>0</v>
      </c>
      <c r="I394" s="50">
        <f t="shared" si="72"/>
        <v>0</v>
      </c>
      <c r="J394" s="51">
        <f>I394*$M$15</f>
        <v>0</v>
      </c>
      <c r="K394" s="52">
        <f>I394-J394</f>
        <v>0</v>
      </c>
      <c r="L394" s="51">
        <f>K394*$P$5</f>
        <v>0</v>
      </c>
      <c r="M394" s="53">
        <f>K394+L394</f>
        <v>0</v>
      </c>
      <c r="N394" s="92"/>
      <c r="O394" s="41"/>
      <c r="P394" s="112"/>
    </row>
    <row r="395" spans="1:16" ht="15.75" thickBot="1" x14ac:dyDescent="0.25">
      <c r="A395" s="54">
        <v>7506309809984</v>
      </c>
      <c r="B395" s="10" t="s">
        <v>42</v>
      </c>
      <c r="C395" s="309" t="s">
        <v>475</v>
      </c>
      <c r="D395" s="55" t="s">
        <v>257</v>
      </c>
      <c r="E395" s="52">
        <v>243.21</v>
      </c>
      <c r="F395" s="56"/>
      <c r="G395" s="542"/>
      <c r="H395" s="417">
        <f t="shared" si="79"/>
        <v>0</v>
      </c>
      <c r="I395" s="50">
        <f t="shared" si="72"/>
        <v>0</v>
      </c>
      <c r="J395" s="57">
        <f>I395*$M$15</f>
        <v>0</v>
      </c>
      <c r="K395" s="58">
        <f>I395-J395</f>
        <v>0</v>
      </c>
      <c r="L395" s="57">
        <f>K395*$P$5</f>
        <v>0</v>
      </c>
      <c r="M395" s="59">
        <f>K395+L395</f>
        <v>0</v>
      </c>
      <c r="N395" s="92"/>
      <c r="O395" s="41"/>
      <c r="P395" s="112"/>
    </row>
    <row r="396" spans="1:16" ht="15.75" hidden="1" thickBot="1" x14ac:dyDescent="0.25">
      <c r="A396" s="54">
        <v>7506309809991</v>
      </c>
      <c r="B396" s="10" t="s">
        <v>42</v>
      </c>
      <c r="C396" s="309" t="s">
        <v>475</v>
      </c>
      <c r="D396" s="61" t="s">
        <v>258</v>
      </c>
      <c r="E396" s="52">
        <v>243.21000000000004</v>
      </c>
      <c r="F396" s="62"/>
      <c r="G396" s="542"/>
      <c r="H396" s="417">
        <f t="shared" si="79"/>
        <v>0</v>
      </c>
      <c r="I396" s="50">
        <f t="shared" si="72"/>
        <v>0</v>
      </c>
      <c r="J396" s="63">
        <f>I396*$M$15</f>
        <v>0</v>
      </c>
      <c r="K396" s="64">
        <f>I396-J396</f>
        <v>0</v>
      </c>
      <c r="L396" s="63">
        <f>K396*$P$5</f>
        <v>0</v>
      </c>
      <c r="M396" s="65">
        <f>K396+L396</f>
        <v>0</v>
      </c>
      <c r="N396" s="92"/>
      <c r="O396" s="41"/>
      <c r="P396" s="112"/>
    </row>
    <row r="397" spans="1:16" ht="15.75" thickBot="1" x14ac:dyDescent="0.25">
      <c r="A397" s="113"/>
      <c r="B397" s="114"/>
      <c r="C397" s="309" t="e">
        <v>#N/A</v>
      </c>
      <c r="D397" s="285" t="s">
        <v>259</v>
      </c>
      <c r="E397" s="498"/>
      <c r="F397" s="373"/>
      <c r="G397" s="549"/>
      <c r="H397" s="431"/>
      <c r="I397" s="115"/>
      <c r="J397" s="116"/>
      <c r="K397" s="115"/>
      <c r="L397" s="115"/>
      <c r="M397" s="117"/>
      <c r="N397" s="92"/>
      <c r="O397" s="41"/>
      <c r="P397" s="112"/>
    </row>
    <row r="398" spans="1:16" x14ac:dyDescent="0.2">
      <c r="A398" s="54">
        <v>8005610672212</v>
      </c>
      <c r="B398" s="10" t="s">
        <v>43</v>
      </c>
      <c r="C398" s="309" t="s">
        <v>475</v>
      </c>
      <c r="D398" s="118" t="s">
        <v>260</v>
      </c>
      <c r="E398" s="52">
        <v>214.785</v>
      </c>
      <c r="F398" s="49"/>
      <c r="G398" s="548"/>
      <c r="H398" s="417">
        <f t="shared" ref="H398:H426" si="80">(F398+G398)</f>
        <v>0</v>
      </c>
      <c r="I398" s="50">
        <f t="shared" si="72"/>
        <v>0</v>
      </c>
      <c r="J398" s="57">
        <f t="shared" ref="J398:J404" si="81">I398*$M$20</f>
        <v>0</v>
      </c>
      <c r="K398" s="52">
        <f>I398-J398</f>
        <v>0</v>
      </c>
      <c r="L398" s="51">
        <f>K398*$P$5</f>
        <v>0</v>
      </c>
      <c r="M398" s="53">
        <f>K398+L398</f>
        <v>0</v>
      </c>
      <c r="N398" s="41"/>
      <c r="O398" s="41"/>
      <c r="P398" s="41"/>
    </row>
    <row r="399" spans="1:16" x14ac:dyDescent="0.2">
      <c r="A399" s="54">
        <v>8005610672274</v>
      </c>
      <c r="B399" s="10" t="s">
        <v>43</v>
      </c>
      <c r="C399" s="309" t="s">
        <v>475</v>
      </c>
      <c r="D399" s="118" t="s">
        <v>261</v>
      </c>
      <c r="E399" s="52">
        <v>248.46690000000004</v>
      </c>
      <c r="F399" s="56"/>
      <c r="G399" s="543"/>
      <c r="H399" s="417">
        <f t="shared" si="80"/>
        <v>0</v>
      </c>
      <c r="I399" s="50">
        <f t="shared" si="72"/>
        <v>0</v>
      </c>
      <c r="J399" s="57">
        <f t="shared" si="81"/>
        <v>0</v>
      </c>
      <c r="K399" s="58">
        <f t="shared" ref="K399:K426" si="82">I399-J399</f>
        <v>0</v>
      </c>
      <c r="L399" s="57">
        <f t="shared" ref="L399:L404" si="83">K399*$P$5</f>
        <v>0</v>
      </c>
      <c r="M399" s="59">
        <f t="shared" ref="M399:M421" si="84">K399+L399</f>
        <v>0</v>
      </c>
      <c r="N399" s="41"/>
      <c r="O399" s="41"/>
      <c r="P399" s="41"/>
    </row>
    <row r="400" spans="1:16" x14ac:dyDescent="0.2">
      <c r="A400" s="54">
        <v>8005610672335</v>
      </c>
      <c r="B400" s="10" t="s">
        <v>43</v>
      </c>
      <c r="C400" s="309" t="s">
        <v>475</v>
      </c>
      <c r="D400" s="118" t="s">
        <v>262</v>
      </c>
      <c r="E400" s="52">
        <v>356.642</v>
      </c>
      <c r="F400" s="56"/>
      <c r="G400" s="543"/>
      <c r="H400" s="417">
        <f t="shared" si="80"/>
        <v>0</v>
      </c>
      <c r="I400" s="50">
        <f t="shared" si="72"/>
        <v>0</v>
      </c>
      <c r="J400" s="57">
        <f t="shared" si="81"/>
        <v>0</v>
      </c>
      <c r="K400" s="58">
        <f t="shared" si="82"/>
        <v>0</v>
      </c>
      <c r="L400" s="57">
        <f t="shared" si="83"/>
        <v>0</v>
      </c>
      <c r="M400" s="59">
        <f t="shared" si="84"/>
        <v>0</v>
      </c>
      <c r="N400" s="41"/>
      <c r="O400" s="41"/>
      <c r="P400" s="41"/>
    </row>
    <row r="401" spans="1:16" x14ac:dyDescent="0.2">
      <c r="A401" s="54">
        <v>8005610672243</v>
      </c>
      <c r="B401" s="10" t="s">
        <v>43</v>
      </c>
      <c r="C401" s="309" t="s">
        <v>475</v>
      </c>
      <c r="D401" s="118" t="s">
        <v>263</v>
      </c>
      <c r="E401" s="52">
        <v>506.19600000000003</v>
      </c>
      <c r="F401" s="56"/>
      <c r="G401" s="550"/>
      <c r="H401" s="417">
        <f t="shared" si="80"/>
        <v>0</v>
      </c>
      <c r="I401" s="50">
        <f t="shared" si="72"/>
        <v>0</v>
      </c>
      <c r="J401" s="57">
        <f t="shared" si="81"/>
        <v>0</v>
      </c>
      <c r="K401" s="58">
        <f t="shared" si="82"/>
        <v>0</v>
      </c>
      <c r="L401" s="57">
        <f t="shared" si="83"/>
        <v>0</v>
      </c>
      <c r="M401" s="59">
        <f t="shared" si="84"/>
        <v>0</v>
      </c>
      <c r="N401" s="41"/>
      <c r="O401" s="41"/>
      <c r="P401" s="41"/>
    </row>
    <row r="402" spans="1:16" x14ac:dyDescent="0.2">
      <c r="A402" s="54">
        <v>8005610672304</v>
      </c>
      <c r="B402" s="10" t="s">
        <v>43</v>
      </c>
      <c r="C402" s="309" t="s">
        <v>475</v>
      </c>
      <c r="D402" s="118" t="s">
        <v>264</v>
      </c>
      <c r="E402" s="52">
        <v>635.16374999999982</v>
      </c>
      <c r="F402" s="56"/>
      <c r="G402" s="550"/>
      <c r="H402" s="417">
        <f t="shared" si="80"/>
        <v>0</v>
      </c>
      <c r="I402" s="50">
        <f t="shared" si="72"/>
        <v>0</v>
      </c>
      <c r="J402" s="57">
        <f t="shared" si="81"/>
        <v>0</v>
      </c>
      <c r="K402" s="58">
        <f t="shared" si="82"/>
        <v>0</v>
      </c>
      <c r="L402" s="57">
        <f t="shared" si="83"/>
        <v>0</v>
      </c>
      <c r="M402" s="59">
        <f t="shared" si="84"/>
        <v>0</v>
      </c>
      <c r="N402" s="41"/>
      <c r="O402" s="41"/>
      <c r="P402" s="41"/>
    </row>
    <row r="403" spans="1:16" x14ac:dyDescent="0.2">
      <c r="A403" s="54">
        <v>8005610672366</v>
      </c>
      <c r="B403" s="10" t="s">
        <v>43</v>
      </c>
      <c r="C403" s="309" t="s">
        <v>475</v>
      </c>
      <c r="D403" s="118" t="s">
        <v>265</v>
      </c>
      <c r="E403" s="52">
        <v>699.61860000000001</v>
      </c>
      <c r="F403" s="111"/>
      <c r="G403" s="550"/>
      <c r="H403" s="417">
        <f t="shared" si="80"/>
        <v>0</v>
      </c>
      <c r="I403" s="50">
        <f t="shared" si="72"/>
        <v>0</v>
      </c>
      <c r="J403" s="57">
        <f t="shared" si="81"/>
        <v>0</v>
      </c>
      <c r="K403" s="58">
        <f t="shared" si="82"/>
        <v>0</v>
      </c>
      <c r="L403" s="57">
        <f t="shared" si="83"/>
        <v>0</v>
      </c>
      <c r="M403" s="59">
        <f t="shared" si="84"/>
        <v>0</v>
      </c>
      <c r="N403" s="41"/>
      <c r="O403" s="41"/>
      <c r="P403" s="41"/>
    </row>
    <row r="404" spans="1:16" ht="15.75" thickBot="1" x14ac:dyDescent="0.25">
      <c r="A404" s="54">
        <v>8005610644233</v>
      </c>
      <c r="B404" s="10" t="s">
        <v>43</v>
      </c>
      <c r="C404" s="309" t="s">
        <v>475</v>
      </c>
      <c r="D404" s="118" t="s">
        <v>266</v>
      </c>
      <c r="E404" s="52">
        <v>338.19499999999999</v>
      </c>
      <c r="F404" s="56"/>
      <c r="G404" s="543"/>
      <c r="H404" s="417">
        <f t="shared" si="80"/>
        <v>0</v>
      </c>
      <c r="I404" s="50">
        <f t="shared" si="72"/>
        <v>0</v>
      </c>
      <c r="J404" s="57">
        <f t="shared" si="81"/>
        <v>0</v>
      </c>
      <c r="K404" s="58">
        <f t="shared" si="82"/>
        <v>0</v>
      </c>
      <c r="L404" s="57">
        <f t="shared" si="83"/>
        <v>0</v>
      </c>
      <c r="M404" s="59">
        <f t="shared" si="84"/>
        <v>0</v>
      </c>
      <c r="N404" s="41"/>
      <c r="O404" s="41"/>
      <c r="P404" s="41"/>
    </row>
    <row r="405" spans="1:16" ht="15.75" thickBot="1" x14ac:dyDescent="0.25">
      <c r="A405" s="119"/>
      <c r="B405" s="120"/>
      <c r="C405" s="309" t="e">
        <v>#N/A</v>
      </c>
      <c r="D405" s="121" t="s">
        <v>267</v>
      </c>
      <c r="E405" s="499"/>
      <c r="F405" s="374"/>
      <c r="G405" s="551"/>
      <c r="H405" s="122"/>
      <c r="I405" s="122"/>
      <c r="J405" s="123"/>
      <c r="K405" s="122"/>
      <c r="L405" s="122"/>
      <c r="M405" s="124"/>
      <c r="N405" s="41"/>
      <c r="O405" s="41"/>
      <c r="P405" s="41"/>
    </row>
    <row r="406" spans="1:16" x14ac:dyDescent="0.2">
      <c r="A406" s="54">
        <v>8005610672397</v>
      </c>
      <c r="B406" s="10" t="s">
        <v>43</v>
      </c>
      <c r="C406" s="309" t="s">
        <v>475</v>
      </c>
      <c r="D406" s="118" t="s">
        <v>268</v>
      </c>
      <c r="E406" s="52">
        <v>214.69250000000002</v>
      </c>
      <c r="F406" s="49"/>
      <c r="G406" s="542"/>
      <c r="H406" s="417">
        <f t="shared" si="80"/>
        <v>0</v>
      </c>
      <c r="I406" s="50">
        <f t="shared" si="72"/>
        <v>0</v>
      </c>
      <c r="J406" s="57">
        <f t="shared" ref="J406:J413" si="85">I406*$M$20</f>
        <v>0</v>
      </c>
      <c r="K406" s="52">
        <f t="shared" si="82"/>
        <v>0</v>
      </c>
      <c r="L406" s="51">
        <f t="shared" ref="L406:L412" si="86">K406*$P$5</f>
        <v>0</v>
      </c>
      <c r="M406" s="53">
        <f t="shared" si="84"/>
        <v>0</v>
      </c>
      <c r="N406" s="112"/>
      <c r="O406" s="57"/>
      <c r="P406" s="112"/>
    </row>
    <row r="407" spans="1:16" x14ac:dyDescent="0.2">
      <c r="A407" s="54">
        <v>8005610672458</v>
      </c>
      <c r="B407" s="10" t="s">
        <v>43</v>
      </c>
      <c r="C407" s="309" t="s">
        <v>475</v>
      </c>
      <c r="D407" s="118" t="s">
        <v>269</v>
      </c>
      <c r="E407" s="52">
        <v>248.46690000000004</v>
      </c>
      <c r="F407" s="56"/>
      <c r="G407" s="543"/>
      <c r="H407" s="417">
        <f t="shared" si="80"/>
        <v>0</v>
      </c>
      <c r="I407" s="50">
        <f t="shared" si="72"/>
        <v>0</v>
      </c>
      <c r="J407" s="57">
        <f t="shared" si="85"/>
        <v>0</v>
      </c>
      <c r="K407" s="58">
        <f t="shared" si="82"/>
        <v>0</v>
      </c>
      <c r="L407" s="57">
        <f t="shared" si="86"/>
        <v>0</v>
      </c>
      <c r="M407" s="59">
        <f t="shared" si="84"/>
        <v>0</v>
      </c>
      <c r="N407" s="112"/>
      <c r="O407" s="57"/>
      <c r="P407" s="112"/>
    </row>
    <row r="408" spans="1:16" x14ac:dyDescent="0.2">
      <c r="A408" s="54">
        <v>8005610672519</v>
      </c>
      <c r="B408" s="10" t="s">
        <v>43</v>
      </c>
      <c r="C408" s="309" t="s">
        <v>475</v>
      </c>
      <c r="D408" s="118" t="s">
        <v>270</v>
      </c>
      <c r="E408" s="52">
        <v>356.642</v>
      </c>
      <c r="F408" s="125"/>
      <c r="G408" s="543"/>
      <c r="H408" s="417">
        <f t="shared" si="80"/>
        <v>0</v>
      </c>
      <c r="I408" s="50">
        <f t="shared" si="72"/>
        <v>0</v>
      </c>
      <c r="J408" s="57">
        <f t="shared" si="85"/>
        <v>0</v>
      </c>
      <c r="K408" s="58">
        <f t="shared" si="82"/>
        <v>0</v>
      </c>
      <c r="L408" s="57">
        <f t="shared" si="86"/>
        <v>0</v>
      </c>
      <c r="M408" s="59">
        <f t="shared" si="84"/>
        <v>0</v>
      </c>
      <c r="N408" s="112"/>
      <c r="O408" s="57"/>
      <c r="P408" s="112"/>
    </row>
    <row r="409" spans="1:16" x14ac:dyDescent="0.2">
      <c r="A409" s="54">
        <v>8005610672427</v>
      </c>
      <c r="B409" s="10" t="s">
        <v>43</v>
      </c>
      <c r="C409" s="309" t="s">
        <v>475</v>
      </c>
      <c r="D409" s="118" t="s">
        <v>271</v>
      </c>
      <c r="E409" s="52">
        <v>506.19600000000003</v>
      </c>
      <c r="F409" s="56"/>
      <c r="G409" s="550"/>
      <c r="H409" s="417">
        <f t="shared" si="80"/>
        <v>0</v>
      </c>
      <c r="I409" s="50">
        <f t="shared" si="72"/>
        <v>0</v>
      </c>
      <c r="J409" s="57">
        <f t="shared" si="85"/>
        <v>0</v>
      </c>
      <c r="K409" s="58">
        <f t="shared" si="82"/>
        <v>0</v>
      </c>
      <c r="L409" s="57">
        <f t="shared" si="86"/>
        <v>0</v>
      </c>
      <c r="M409" s="59">
        <f t="shared" si="84"/>
        <v>0</v>
      </c>
      <c r="N409" s="112"/>
      <c r="O409" s="57"/>
      <c r="P409" s="112"/>
    </row>
    <row r="410" spans="1:16" x14ac:dyDescent="0.2">
      <c r="A410" s="54">
        <v>8005610672489</v>
      </c>
      <c r="B410" s="10" t="s">
        <v>43</v>
      </c>
      <c r="C410" s="309" t="s">
        <v>475</v>
      </c>
      <c r="D410" s="118" t="s">
        <v>272</v>
      </c>
      <c r="E410" s="52">
        <v>635.16374999999982</v>
      </c>
      <c r="F410" s="56"/>
      <c r="G410" s="550"/>
      <c r="H410" s="417">
        <f t="shared" si="80"/>
        <v>0</v>
      </c>
      <c r="I410" s="50">
        <f t="shared" si="72"/>
        <v>0</v>
      </c>
      <c r="J410" s="57">
        <f t="shared" si="85"/>
        <v>0</v>
      </c>
      <c r="K410" s="58">
        <f t="shared" si="82"/>
        <v>0</v>
      </c>
      <c r="L410" s="57">
        <f t="shared" si="86"/>
        <v>0</v>
      </c>
      <c r="M410" s="59">
        <f t="shared" si="84"/>
        <v>0</v>
      </c>
      <c r="N410" s="112"/>
      <c r="O410" s="57"/>
      <c r="P410" s="112"/>
    </row>
    <row r="411" spans="1:16" x14ac:dyDescent="0.2">
      <c r="A411" s="54">
        <v>8005610672540</v>
      </c>
      <c r="B411" s="10" t="s">
        <v>43</v>
      </c>
      <c r="C411" s="309" t="s">
        <v>475</v>
      </c>
      <c r="D411" s="118" t="s">
        <v>273</v>
      </c>
      <c r="E411" s="52">
        <v>699.61860000000001</v>
      </c>
      <c r="F411" s="111"/>
      <c r="G411" s="552"/>
      <c r="H411" s="255">
        <f t="shared" si="80"/>
        <v>0</v>
      </c>
      <c r="I411" s="50">
        <f t="shared" si="72"/>
        <v>0</v>
      </c>
      <c r="J411" s="57">
        <f t="shared" si="85"/>
        <v>0</v>
      </c>
      <c r="K411" s="58">
        <f>I411-J411</f>
        <v>0</v>
      </c>
      <c r="L411" s="57">
        <f t="shared" si="86"/>
        <v>0</v>
      </c>
      <c r="M411" s="59">
        <f t="shared" si="84"/>
        <v>0</v>
      </c>
      <c r="N411" s="112"/>
      <c r="O411" s="57"/>
      <c r="P411" s="112"/>
    </row>
    <row r="412" spans="1:16" x14ac:dyDescent="0.2">
      <c r="A412" s="54">
        <v>8005610644394</v>
      </c>
      <c r="B412" s="10" t="s">
        <v>43</v>
      </c>
      <c r="C412" s="309" t="s">
        <v>475</v>
      </c>
      <c r="D412" s="118" t="s">
        <v>274</v>
      </c>
      <c r="E412" s="52">
        <v>472</v>
      </c>
      <c r="F412" s="56"/>
      <c r="G412" s="543"/>
      <c r="H412" s="417">
        <f t="shared" si="80"/>
        <v>0</v>
      </c>
      <c r="I412" s="50">
        <f t="shared" si="72"/>
        <v>0</v>
      </c>
      <c r="J412" s="57">
        <f t="shared" si="85"/>
        <v>0</v>
      </c>
      <c r="K412" s="58">
        <f t="shared" si="82"/>
        <v>0</v>
      </c>
      <c r="L412" s="57">
        <f t="shared" si="86"/>
        <v>0</v>
      </c>
      <c r="M412" s="59">
        <f t="shared" si="84"/>
        <v>0</v>
      </c>
      <c r="N412" s="112"/>
      <c r="O412" s="57"/>
      <c r="P412" s="112"/>
    </row>
    <row r="413" spans="1:16" ht="15.75" thickBot="1" x14ac:dyDescent="0.25">
      <c r="A413" s="54">
        <v>8005610643885</v>
      </c>
      <c r="B413" s="10" t="s">
        <v>43</v>
      </c>
      <c r="C413" s="309" t="s">
        <v>475</v>
      </c>
      <c r="D413" s="118" t="s">
        <v>275</v>
      </c>
      <c r="E413" s="52">
        <v>364.21</v>
      </c>
      <c r="F413" s="56"/>
      <c r="G413" s="543"/>
      <c r="H413" s="417">
        <f t="shared" si="80"/>
        <v>0</v>
      </c>
      <c r="I413" s="50">
        <f t="shared" ref="I413:I474" si="87">IF(C413="Faltante",0,E413*F413)</f>
        <v>0</v>
      </c>
      <c r="J413" s="57">
        <f t="shared" si="85"/>
        <v>0</v>
      </c>
      <c r="K413" s="58">
        <f>I413-J413</f>
        <v>0</v>
      </c>
      <c r="L413" s="57">
        <f>K413*$P$5</f>
        <v>0</v>
      </c>
      <c r="M413" s="59">
        <f>K413+L413</f>
        <v>0</v>
      </c>
      <c r="N413" s="112"/>
      <c r="O413" s="57"/>
      <c r="P413" s="112"/>
    </row>
    <row r="414" spans="1:16" ht="15.75" thickBot="1" x14ac:dyDescent="0.25">
      <c r="A414" s="126"/>
      <c r="B414" s="127"/>
      <c r="C414" s="309" t="e">
        <v>#N/A</v>
      </c>
      <c r="D414" s="128" t="s">
        <v>276</v>
      </c>
      <c r="E414" s="500"/>
      <c r="F414" s="375"/>
      <c r="G414" s="553"/>
      <c r="H414" s="129"/>
      <c r="I414" s="129"/>
      <c r="J414" s="130"/>
      <c r="K414" s="131"/>
      <c r="L414" s="131"/>
      <c r="M414" s="132"/>
      <c r="N414" s="112"/>
      <c r="O414" s="57"/>
      <c r="P414" s="112"/>
    </row>
    <row r="415" spans="1:16" x14ac:dyDescent="0.2">
      <c r="A415" s="54">
        <v>8005610642703</v>
      </c>
      <c r="B415" s="10" t="s">
        <v>43</v>
      </c>
      <c r="C415" s="309" t="s">
        <v>475</v>
      </c>
      <c r="D415" s="118" t="s">
        <v>277</v>
      </c>
      <c r="E415" s="52">
        <v>214.785</v>
      </c>
      <c r="F415" s="49"/>
      <c r="G415" s="542"/>
      <c r="H415" s="417">
        <f t="shared" si="80"/>
        <v>0</v>
      </c>
      <c r="I415" s="50">
        <f t="shared" si="87"/>
        <v>0</v>
      </c>
      <c r="J415" s="57">
        <f>I415*$M$20</f>
        <v>0</v>
      </c>
      <c r="K415" s="52">
        <f>I415-J415</f>
        <v>0</v>
      </c>
      <c r="L415" s="51">
        <f>K415*$P$5</f>
        <v>0</v>
      </c>
      <c r="M415" s="53">
        <f>K415+L415</f>
        <v>0</v>
      </c>
      <c r="N415" s="112"/>
      <c r="O415" s="57"/>
      <c r="P415" s="112"/>
    </row>
    <row r="416" spans="1:16" x14ac:dyDescent="0.2">
      <c r="A416" s="54">
        <v>8005610642888</v>
      </c>
      <c r="B416" s="10" t="s">
        <v>43</v>
      </c>
      <c r="C416" s="309" t="s">
        <v>475</v>
      </c>
      <c r="D416" s="118" t="s">
        <v>278</v>
      </c>
      <c r="E416" s="52">
        <v>248.46690000000004</v>
      </c>
      <c r="F416" s="56"/>
      <c r="G416" s="543"/>
      <c r="H416" s="417">
        <f t="shared" si="80"/>
        <v>0</v>
      </c>
      <c r="I416" s="50">
        <f t="shared" si="87"/>
        <v>0</v>
      </c>
      <c r="J416" s="57">
        <f>I416*$M$20</f>
        <v>0</v>
      </c>
      <c r="K416" s="58">
        <f>I416-J416</f>
        <v>0</v>
      </c>
      <c r="L416" s="57">
        <f>K416*$P$5</f>
        <v>0</v>
      </c>
      <c r="M416" s="59">
        <f>K416+L416</f>
        <v>0</v>
      </c>
      <c r="N416" s="112"/>
      <c r="O416" s="57"/>
      <c r="P416" s="112"/>
    </row>
    <row r="417" spans="1:16" ht="15.75" thickBot="1" x14ac:dyDescent="0.25">
      <c r="A417" s="54">
        <v>8005610642796</v>
      </c>
      <c r="B417" s="10" t="s">
        <v>43</v>
      </c>
      <c r="C417" s="309" t="s">
        <v>475</v>
      </c>
      <c r="D417" s="118" t="s">
        <v>279</v>
      </c>
      <c r="E417" s="52">
        <v>506.19600000000003</v>
      </c>
      <c r="F417" s="56"/>
      <c r="G417" s="543"/>
      <c r="H417" s="417">
        <f t="shared" si="80"/>
        <v>0</v>
      </c>
      <c r="I417" s="50">
        <f t="shared" si="87"/>
        <v>0</v>
      </c>
      <c r="J417" s="57">
        <f>I417*$M$20</f>
        <v>0</v>
      </c>
      <c r="K417" s="58">
        <f>I417-J417</f>
        <v>0</v>
      </c>
      <c r="L417" s="57">
        <f>K417*$P$5</f>
        <v>0</v>
      </c>
      <c r="M417" s="59">
        <f>K417+L417</f>
        <v>0</v>
      </c>
      <c r="N417" s="112"/>
      <c r="O417" s="57"/>
      <c r="P417" s="112"/>
    </row>
    <row r="418" spans="1:16" ht="15.75" thickBot="1" x14ac:dyDescent="0.25">
      <c r="A418" s="133"/>
      <c r="B418" s="134"/>
      <c r="C418" s="309" t="e">
        <v>#N/A</v>
      </c>
      <c r="D418" s="135" t="s">
        <v>280</v>
      </c>
      <c r="E418" s="501"/>
      <c r="F418" s="376"/>
      <c r="G418" s="554"/>
      <c r="H418" s="136"/>
      <c r="I418" s="136"/>
      <c r="J418" s="137"/>
      <c r="K418" s="138"/>
      <c r="L418" s="138"/>
      <c r="M418" s="139"/>
      <c r="N418" s="112"/>
      <c r="O418" s="57"/>
      <c r="P418" s="112"/>
    </row>
    <row r="419" spans="1:16" x14ac:dyDescent="0.2">
      <c r="A419" s="54">
        <v>8005610633091</v>
      </c>
      <c r="B419" s="10" t="s">
        <v>43</v>
      </c>
      <c r="C419" s="309" t="s">
        <v>475</v>
      </c>
      <c r="D419" s="118" t="s">
        <v>281</v>
      </c>
      <c r="E419" s="52">
        <v>199.8</v>
      </c>
      <c r="F419" s="49"/>
      <c r="G419" s="542"/>
      <c r="H419" s="417">
        <f>(F419+G419)</f>
        <v>0</v>
      </c>
      <c r="I419" s="50">
        <f t="shared" si="87"/>
        <v>0</v>
      </c>
      <c r="J419" s="57">
        <f>I419*$M$20</f>
        <v>0</v>
      </c>
      <c r="K419" s="52">
        <f>I419-J419</f>
        <v>0</v>
      </c>
      <c r="L419" s="51">
        <f>K419*$P$5</f>
        <v>0</v>
      </c>
      <c r="M419" s="53">
        <f>K419+L419</f>
        <v>0</v>
      </c>
      <c r="N419" s="112"/>
      <c r="O419" s="57"/>
      <c r="P419" s="112"/>
    </row>
    <row r="420" spans="1:16" x14ac:dyDescent="0.2">
      <c r="A420" s="54">
        <v>8005610645681</v>
      </c>
      <c r="B420" s="10" t="s">
        <v>43</v>
      </c>
      <c r="C420" s="309" t="s">
        <v>535</v>
      </c>
      <c r="D420" s="118" t="s">
        <v>282</v>
      </c>
      <c r="E420" s="52">
        <v>301.59999999999997</v>
      </c>
      <c r="F420" s="49"/>
      <c r="G420" s="542"/>
      <c r="H420" s="417">
        <f t="shared" si="80"/>
        <v>0</v>
      </c>
      <c r="I420" s="50">
        <f t="shared" si="87"/>
        <v>0</v>
      </c>
      <c r="J420" s="57">
        <f>I420*$M$20</f>
        <v>0</v>
      </c>
      <c r="K420" s="52">
        <f>I420-J420</f>
        <v>0</v>
      </c>
      <c r="L420" s="51">
        <f>K420*$P$5</f>
        <v>0</v>
      </c>
      <c r="M420" s="53">
        <f>K420+L420</f>
        <v>0</v>
      </c>
      <c r="N420" s="112"/>
      <c r="O420" s="57"/>
      <c r="P420" s="112"/>
    </row>
    <row r="421" spans="1:16" ht="15.75" thickBot="1" x14ac:dyDescent="0.25">
      <c r="A421" s="54">
        <v>8005610644035</v>
      </c>
      <c r="B421" s="10" t="s">
        <v>43</v>
      </c>
      <c r="C421" s="309" t="s">
        <v>475</v>
      </c>
      <c r="D421" s="118" t="s">
        <v>283</v>
      </c>
      <c r="E421" s="52">
        <v>286</v>
      </c>
      <c r="F421" s="49"/>
      <c r="G421" s="542"/>
      <c r="H421" s="417">
        <f t="shared" si="80"/>
        <v>0</v>
      </c>
      <c r="I421" s="50">
        <f t="shared" si="87"/>
        <v>0</v>
      </c>
      <c r="J421" s="57">
        <f>I421*$M$20</f>
        <v>0</v>
      </c>
      <c r="K421" s="52">
        <f t="shared" si="82"/>
        <v>0</v>
      </c>
      <c r="L421" s="51">
        <f>K421*$P$5</f>
        <v>0</v>
      </c>
      <c r="M421" s="53">
        <f t="shared" si="84"/>
        <v>0</v>
      </c>
      <c r="N421" s="112"/>
      <c r="O421" s="57"/>
      <c r="P421" s="112"/>
    </row>
    <row r="422" spans="1:16" ht="15.75" thickBot="1" x14ac:dyDescent="0.25">
      <c r="A422" s="140"/>
      <c r="B422" s="141"/>
      <c r="C422" s="309" t="e">
        <v>#N/A</v>
      </c>
      <c r="D422" s="142" t="s">
        <v>284</v>
      </c>
      <c r="E422" s="502"/>
      <c r="F422" s="377"/>
      <c r="G422" s="555"/>
      <c r="H422" s="143"/>
      <c r="I422" s="143"/>
      <c r="J422" s="144"/>
      <c r="K422" s="145"/>
      <c r="L422" s="145"/>
      <c r="M422" s="146"/>
      <c r="N422" s="112"/>
      <c r="O422" s="57"/>
      <c r="P422" s="112"/>
    </row>
    <row r="423" spans="1:16" x14ac:dyDescent="0.2">
      <c r="A423" s="54">
        <v>8005610642406</v>
      </c>
      <c r="B423" s="10" t="s">
        <v>43</v>
      </c>
      <c r="C423" s="309" t="s">
        <v>475</v>
      </c>
      <c r="D423" s="118" t="s">
        <v>285</v>
      </c>
      <c r="E423" s="52">
        <v>199.8</v>
      </c>
      <c r="F423" s="49"/>
      <c r="G423" s="542"/>
      <c r="H423" s="417">
        <f t="shared" si="80"/>
        <v>0</v>
      </c>
      <c r="I423" s="50">
        <f t="shared" si="87"/>
        <v>0</v>
      </c>
      <c r="J423" s="57">
        <f>I423*$M$20</f>
        <v>0</v>
      </c>
      <c r="K423" s="52">
        <f t="shared" si="82"/>
        <v>0</v>
      </c>
      <c r="L423" s="51">
        <f>K423*$P$5</f>
        <v>0</v>
      </c>
      <c r="M423" s="53">
        <f>K423+L423</f>
        <v>0</v>
      </c>
      <c r="N423" s="112"/>
      <c r="O423" s="57"/>
      <c r="P423" s="112"/>
    </row>
    <row r="424" spans="1:16" x14ac:dyDescent="0.2">
      <c r="A424" s="54">
        <v>8005610633152</v>
      </c>
      <c r="B424" s="10" t="s">
        <v>43</v>
      </c>
      <c r="C424" s="309" t="s">
        <v>475</v>
      </c>
      <c r="D424" s="118" t="s">
        <v>286</v>
      </c>
      <c r="E424" s="52">
        <v>199.8</v>
      </c>
      <c r="F424" s="56"/>
      <c r="G424" s="543"/>
      <c r="H424" s="417">
        <f t="shared" si="80"/>
        <v>0</v>
      </c>
      <c r="I424" s="50">
        <f t="shared" si="87"/>
        <v>0</v>
      </c>
      <c r="J424" s="57">
        <f>I424*$M$20</f>
        <v>0</v>
      </c>
      <c r="K424" s="52">
        <f t="shared" si="82"/>
        <v>0</v>
      </c>
      <c r="L424" s="51">
        <f>K424*$P$5</f>
        <v>0</v>
      </c>
      <c r="M424" s="53">
        <f>K424+L424</f>
        <v>0</v>
      </c>
      <c r="N424" s="112"/>
      <c r="O424" s="57"/>
      <c r="P424" s="112"/>
    </row>
    <row r="425" spans="1:16" x14ac:dyDescent="0.2">
      <c r="A425" s="54">
        <v>8005610642529</v>
      </c>
      <c r="B425" s="10" t="s">
        <v>43</v>
      </c>
      <c r="C425" s="309" t="s">
        <v>535</v>
      </c>
      <c r="D425" s="118" t="s">
        <v>287</v>
      </c>
      <c r="E425" s="52">
        <v>470.88000000000005</v>
      </c>
      <c r="F425" s="56"/>
      <c r="G425" s="543"/>
      <c r="H425" s="417">
        <f t="shared" si="80"/>
        <v>0</v>
      </c>
      <c r="I425" s="50">
        <f t="shared" si="87"/>
        <v>0</v>
      </c>
      <c r="J425" s="57">
        <f>I425*$M$20</f>
        <v>0</v>
      </c>
      <c r="K425" s="52">
        <f>I425-J425</f>
        <v>0</v>
      </c>
      <c r="L425" s="51">
        <f>K425*$P$5</f>
        <v>0</v>
      </c>
      <c r="M425" s="53">
        <f>K425+L425</f>
        <v>0</v>
      </c>
      <c r="N425" s="112"/>
      <c r="O425" s="57"/>
      <c r="P425" s="112"/>
    </row>
    <row r="426" spans="1:16" ht="15.75" thickBot="1" x14ac:dyDescent="0.25">
      <c r="A426" s="54">
        <v>8005610645261</v>
      </c>
      <c r="B426" s="10" t="s">
        <v>43</v>
      </c>
      <c r="C426" s="309" t="s">
        <v>535</v>
      </c>
      <c r="D426" s="118" t="s">
        <v>288</v>
      </c>
      <c r="E426" s="52">
        <v>452.1</v>
      </c>
      <c r="F426" s="56"/>
      <c r="G426" s="543"/>
      <c r="H426" s="417">
        <f t="shared" si="80"/>
        <v>0</v>
      </c>
      <c r="I426" s="50">
        <f t="shared" si="87"/>
        <v>0</v>
      </c>
      <c r="J426" s="57">
        <f>I426*$M$20</f>
        <v>0</v>
      </c>
      <c r="K426" s="52">
        <f t="shared" si="82"/>
        <v>0</v>
      </c>
      <c r="L426" s="51">
        <f>K426*$P$5</f>
        <v>0</v>
      </c>
      <c r="M426" s="53">
        <f>K426+L426</f>
        <v>0</v>
      </c>
      <c r="N426" s="112"/>
      <c r="O426" s="57"/>
      <c r="P426" s="112"/>
    </row>
    <row r="427" spans="1:16" ht="15.75" thickBot="1" x14ac:dyDescent="0.25">
      <c r="A427" s="147"/>
      <c r="B427" s="148"/>
      <c r="C427" s="309" t="e">
        <v>#N/A</v>
      </c>
      <c r="D427" s="149" t="s">
        <v>289</v>
      </c>
      <c r="E427" s="503"/>
      <c r="F427" s="378"/>
      <c r="G427" s="556"/>
      <c r="H427" s="432"/>
      <c r="I427" s="150"/>
      <c r="J427" s="151"/>
      <c r="K427" s="150"/>
      <c r="L427" s="150"/>
      <c r="M427" s="152"/>
      <c r="N427" s="112"/>
      <c r="O427" s="57"/>
      <c r="P427" s="112"/>
    </row>
    <row r="428" spans="1:16" x14ac:dyDescent="0.2">
      <c r="A428" s="153">
        <v>8005610531663</v>
      </c>
      <c r="B428" s="10" t="s">
        <v>44</v>
      </c>
      <c r="C428" s="309" t="s">
        <v>475</v>
      </c>
      <c r="D428" s="158" t="s">
        <v>291</v>
      </c>
      <c r="E428" s="52">
        <v>269.41005000000001</v>
      </c>
      <c r="F428" s="56"/>
      <c r="G428" s="543"/>
      <c r="H428" s="417">
        <f t="shared" ref="H428:H433" si="88">(F428+G428)</f>
        <v>0</v>
      </c>
      <c r="I428" s="50">
        <f t="shared" si="87"/>
        <v>0</v>
      </c>
      <c r="J428" s="57">
        <f t="shared" ref="J428:J433" si="89">I428*$M$20</f>
        <v>0</v>
      </c>
      <c r="K428" s="58">
        <f t="shared" ref="K428:K433" si="90">I428-J428</f>
        <v>0</v>
      </c>
      <c r="L428" s="57">
        <f t="shared" ref="L428:L433" si="91">K428*$P$5</f>
        <v>0</v>
      </c>
      <c r="M428" s="59">
        <f t="shared" ref="M428:M433" si="92">K428+L428</f>
        <v>0</v>
      </c>
      <c r="N428" s="112"/>
      <c r="O428" s="57"/>
      <c r="P428" s="112"/>
    </row>
    <row r="429" spans="1:16" x14ac:dyDescent="0.2">
      <c r="A429" s="159">
        <v>8005610531335</v>
      </c>
      <c r="B429" s="10" t="s">
        <v>44</v>
      </c>
      <c r="C429" s="309" t="s">
        <v>475</v>
      </c>
      <c r="D429" s="158" t="s">
        <v>292</v>
      </c>
      <c r="E429" s="52">
        <v>323.15360000000004</v>
      </c>
      <c r="F429" s="56"/>
      <c r="G429" s="543"/>
      <c r="H429" s="417">
        <f t="shared" si="88"/>
        <v>0</v>
      </c>
      <c r="I429" s="50">
        <f t="shared" si="87"/>
        <v>0</v>
      </c>
      <c r="J429" s="57">
        <f t="shared" si="89"/>
        <v>0</v>
      </c>
      <c r="K429" s="58">
        <f t="shared" si="90"/>
        <v>0</v>
      </c>
      <c r="L429" s="57">
        <f t="shared" si="91"/>
        <v>0</v>
      </c>
      <c r="M429" s="59">
        <f t="shared" si="92"/>
        <v>0</v>
      </c>
      <c r="N429" s="112"/>
      <c r="O429" s="57"/>
      <c r="P429" s="112"/>
    </row>
    <row r="430" spans="1:16" x14ac:dyDescent="0.2">
      <c r="A430" s="159">
        <v>4015400792796</v>
      </c>
      <c r="B430" s="10" t="s">
        <v>44</v>
      </c>
      <c r="C430" s="309" t="s">
        <v>475</v>
      </c>
      <c r="D430" s="158" t="s">
        <v>293</v>
      </c>
      <c r="E430" s="52">
        <v>390.69800000000004</v>
      </c>
      <c r="F430" s="56"/>
      <c r="G430" s="543"/>
      <c r="H430" s="417">
        <f t="shared" si="88"/>
        <v>0</v>
      </c>
      <c r="I430" s="50">
        <f t="shared" si="87"/>
        <v>0</v>
      </c>
      <c r="J430" s="57">
        <f t="shared" si="89"/>
        <v>0</v>
      </c>
      <c r="K430" s="58">
        <f t="shared" si="90"/>
        <v>0</v>
      </c>
      <c r="L430" s="57">
        <f t="shared" si="91"/>
        <v>0</v>
      </c>
      <c r="M430" s="59">
        <f t="shared" si="92"/>
        <v>0</v>
      </c>
      <c r="N430" s="112"/>
      <c r="O430" s="57"/>
      <c r="P430" s="112"/>
    </row>
    <row r="431" spans="1:16" x14ac:dyDescent="0.2">
      <c r="A431" s="153">
        <v>4015400793045</v>
      </c>
      <c r="B431" s="10" t="s">
        <v>44</v>
      </c>
      <c r="C431" s="309" t="s">
        <v>475</v>
      </c>
      <c r="D431" s="154" t="s">
        <v>290</v>
      </c>
      <c r="E431" s="52">
        <v>571.9</v>
      </c>
      <c r="F431" s="379"/>
      <c r="G431" s="557"/>
      <c r="H431" s="417">
        <f t="shared" si="88"/>
        <v>0</v>
      </c>
      <c r="I431" s="50">
        <f t="shared" si="87"/>
        <v>0</v>
      </c>
      <c r="J431" s="57">
        <f t="shared" si="89"/>
        <v>0</v>
      </c>
      <c r="K431" s="155">
        <f t="shared" si="90"/>
        <v>0</v>
      </c>
      <c r="L431" s="156">
        <f t="shared" si="91"/>
        <v>0</v>
      </c>
      <c r="M431" s="157">
        <f t="shared" si="92"/>
        <v>0</v>
      </c>
      <c r="N431" s="112"/>
      <c r="O431" s="57"/>
      <c r="P431" s="112"/>
    </row>
    <row r="432" spans="1:16" x14ac:dyDescent="0.2">
      <c r="A432" s="159">
        <v>4015400793182</v>
      </c>
      <c r="B432" s="10" t="s">
        <v>44</v>
      </c>
      <c r="C432" s="309" t="s">
        <v>475</v>
      </c>
      <c r="D432" s="158" t="s">
        <v>294</v>
      </c>
      <c r="E432" s="52">
        <v>571.9</v>
      </c>
      <c r="F432" s="56"/>
      <c r="G432" s="543"/>
      <c r="H432" s="417">
        <f t="shared" si="88"/>
        <v>0</v>
      </c>
      <c r="I432" s="50">
        <f t="shared" si="87"/>
        <v>0</v>
      </c>
      <c r="J432" s="57">
        <f t="shared" si="89"/>
        <v>0</v>
      </c>
      <c r="K432" s="58">
        <f t="shared" si="90"/>
        <v>0</v>
      </c>
      <c r="L432" s="57">
        <f t="shared" si="91"/>
        <v>0</v>
      </c>
      <c r="M432" s="59">
        <f t="shared" si="92"/>
        <v>0</v>
      </c>
      <c r="N432" s="112"/>
      <c r="O432" s="57"/>
      <c r="P432" s="112"/>
    </row>
    <row r="433" spans="1:16" ht="15.75" thickBot="1" x14ac:dyDescent="0.25">
      <c r="A433" s="159">
        <v>81642883</v>
      </c>
      <c r="B433" s="10" t="s">
        <v>44</v>
      </c>
      <c r="C433" s="309">
        <v>0</v>
      </c>
      <c r="D433" s="158" t="s">
        <v>620</v>
      </c>
      <c r="E433" s="52">
        <v>138.12</v>
      </c>
      <c r="F433" s="56"/>
      <c r="G433" s="543"/>
      <c r="H433" s="417">
        <f t="shared" si="88"/>
        <v>0</v>
      </c>
      <c r="I433" s="50">
        <f t="shared" ref="I433" si="93">IF(C433="Faltante",0,E433*F433)</f>
        <v>0</v>
      </c>
      <c r="J433" s="57">
        <f t="shared" si="89"/>
        <v>0</v>
      </c>
      <c r="K433" s="58">
        <f t="shared" si="90"/>
        <v>0</v>
      </c>
      <c r="L433" s="57">
        <f t="shared" si="91"/>
        <v>0</v>
      </c>
      <c r="M433" s="59">
        <f t="shared" si="92"/>
        <v>0</v>
      </c>
      <c r="N433" s="112"/>
      <c r="O433" s="57"/>
      <c r="P433" s="112"/>
    </row>
    <row r="434" spans="1:16" ht="15.75" thickBot="1" x14ac:dyDescent="0.25">
      <c r="A434" s="160"/>
      <c r="B434" s="161"/>
      <c r="C434" s="309" t="e">
        <v>#N/A</v>
      </c>
      <c r="D434" s="162" t="s">
        <v>295</v>
      </c>
      <c r="E434" s="504"/>
      <c r="F434" s="380"/>
      <c r="G434" s="558"/>
      <c r="H434" s="433"/>
      <c r="I434" s="163"/>
      <c r="J434" s="164"/>
      <c r="K434" s="163"/>
      <c r="L434" s="163"/>
      <c r="M434" s="165"/>
      <c r="N434" s="112"/>
      <c r="O434" s="57"/>
      <c r="P434" s="112"/>
    </row>
    <row r="435" spans="1:16" x14ac:dyDescent="0.2">
      <c r="A435" s="159">
        <v>8005610416038</v>
      </c>
      <c r="B435" s="10" t="s">
        <v>44</v>
      </c>
      <c r="C435" s="309" t="s">
        <v>475</v>
      </c>
      <c r="D435" s="158" t="s">
        <v>296</v>
      </c>
      <c r="E435" s="52">
        <v>296.8499625</v>
      </c>
      <c r="F435" s="56"/>
      <c r="G435" s="543"/>
      <c r="H435" s="417">
        <f t="shared" ref="H435:H442" si="94">(F435+G435)</f>
        <v>0</v>
      </c>
      <c r="I435" s="50">
        <f t="shared" si="87"/>
        <v>0</v>
      </c>
      <c r="J435" s="57">
        <f t="shared" ref="J435:J441" si="95">I435*$M$20</f>
        <v>0</v>
      </c>
      <c r="K435" s="58">
        <f>I435-J435</f>
        <v>0</v>
      </c>
      <c r="L435" s="57">
        <f t="shared" ref="L435:L441" si="96">K435*$P$5</f>
        <v>0</v>
      </c>
      <c r="M435" s="59">
        <f t="shared" ref="M435:M441" si="97">K435+L435</f>
        <v>0</v>
      </c>
      <c r="N435" s="112"/>
      <c r="O435" s="57"/>
      <c r="P435" s="112"/>
    </row>
    <row r="436" spans="1:16" x14ac:dyDescent="0.2">
      <c r="A436" s="159">
        <v>8005610415482</v>
      </c>
      <c r="B436" s="10" t="s">
        <v>44</v>
      </c>
      <c r="C436" s="309" t="s">
        <v>475</v>
      </c>
      <c r="D436" s="158" t="s">
        <v>297</v>
      </c>
      <c r="E436" s="52">
        <v>636.03449999999998</v>
      </c>
      <c r="F436" s="56"/>
      <c r="G436" s="543"/>
      <c r="H436" s="417">
        <f t="shared" si="94"/>
        <v>0</v>
      </c>
      <c r="I436" s="50">
        <f t="shared" si="87"/>
        <v>0</v>
      </c>
      <c r="J436" s="57">
        <f t="shared" si="95"/>
        <v>0</v>
      </c>
      <c r="K436" s="58">
        <f t="shared" ref="K436:K441" si="98">I436-J436</f>
        <v>0</v>
      </c>
      <c r="L436" s="57">
        <f t="shared" si="96"/>
        <v>0</v>
      </c>
      <c r="M436" s="59">
        <f t="shared" si="97"/>
        <v>0</v>
      </c>
      <c r="N436" s="112"/>
      <c r="O436" s="57"/>
      <c r="P436" s="112"/>
    </row>
    <row r="437" spans="1:16" x14ac:dyDescent="0.2">
      <c r="A437" s="159">
        <v>8005610415604</v>
      </c>
      <c r="B437" s="10" t="s">
        <v>44</v>
      </c>
      <c r="C437" s="309" t="s">
        <v>475</v>
      </c>
      <c r="D437" s="158" t="s">
        <v>298</v>
      </c>
      <c r="E437" s="52">
        <v>357.77719999999999</v>
      </c>
      <c r="F437" s="56"/>
      <c r="G437" s="543"/>
      <c r="H437" s="417">
        <f t="shared" si="94"/>
        <v>0</v>
      </c>
      <c r="I437" s="50">
        <f t="shared" si="87"/>
        <v>0</v>
      </c>
      <c r="J437" s="57">
        <f t="shared" si="95"/>
        <v>0</v>
      </c>
      <c r="K437" s="58">
        <f t="shared" si="98"/>
        <v>0</v>
      </c>
      <c r="L437" s="57">
        <f t="shared" si="96"/>
        <v>0</v>
      </c>
      <c r="M437" s="59">
        <f t="shared" si="97"/>
        <v>0</v>
      </c>
      <c r="N437" s="112"/>
      <c r="O437" s="57"/>
      <c r="P437" s="112"/>
    </row>
    <row r="438" spans="1:16" x14ac:dyDescent="0.2">
      <c r="A438" s="159">
        <v>8005610415635</v>
      </c>
      <c r="B438" s="10" t="s">
        <v>44</v>
      </c>
      <c r="C438" s="309" t="s">
        <v>475</v>
      </c>
      <c r="D438" s="158" t="s">
        <v>299</v>
      </c>
      <c r="E438" s="52">
        <v>783.10256249999998</v>
      </c>
      <c r="F438" s="56"/>
      <c r="G438" s="543"/>
      <c r="H438" s="417">
        <f t="shared" si="94"/>
        <v>0</v>
      </c>
      <c r="I438" s="50">
        <f t="shared" si="87"/>
        <v>0</v>
      </c>
      <c r="J438" s="57">
        <f t="shared" si="95"/>
        <v>0</v>
      </c>
      <c r="K438" s="58">
        <f t="shared" si="98"/>
        <v>0</v>
      </c>
      <c r="L438" s="57">
        <f t="shared" si="96"/>
        <v>0</v>
      </c>
      <c r="M438" s="59">
        <f t="shared" si="97"/>
        <v>0</v>
      </c>
      <c r="N438" s="112"/>
      <c r="O438" s="57"/>
      <c r="P438" s="112"/>
    </row>
    <row r="439" spans="1:16" x14ac:dyDescent="0.2">
      <c r="A439" s="159">
        <v>8005610415758</v>
      </c>
      <c r="B439" s="10" t="s">
        <v>44</v>
      </c>
      <c r="C439" s="309" t="s">
        <v>475</v>
      </c>
      <c r="D439" s="158" t="s">
        <v>300</v>
      </c>
      <c r="E439" s="52">
        <v>429.07012500000002</v>
      </c>
      <c r="F439" s="56"/>
      <c r="G439" s="543"/>
      <c r="H439" s="417">
        <f t="shared" si="94"/>
        <v>0</v>
      </c>
      <c r="I439" s="50">
        <f t="shared" si="87"/>
        <v>0</v>
      </c>
      <c r="J439" s="57">
        <f t="shared" si="95"/>
        <v>0</v>
      </c>
      <c r="K439" s="58">
        <f t="shared" si="98"/>
        <v>0</v>
      </c>
      <c r="L439" s="57">
        <f t="shared" si="96"/>
        <v>0</v>
      </c>
      <c r="M439" s="59">
        <f t="shared" si="97"/>
        <v>0</v>
      </c>
      <c r="N439" s="112"/>
      <c r="O439" s="57"/>
      <c r="P439" s="112"/>
    </row>
    <row r="440" spans="1:16" x14ac:dyDescent="0.2">
      <c r="A440" s="159">
        <v>8005610415871</v>
      </c>
      <c r="B440" s="10" t="s">
        <v>44</v>
      </c>
      <c r="C440" s="309" t="s">
        <v>475</v>
      </c>
      <c r="D440" s="158" t="s">
        <v>301</v>
      </c>
      <c r="E440" s="52">
        <v>902.03228500000012</v>
      </c>
      <c r="F440" s="56"/>
      <c r="G440" s="543"/>
      <c r="H440" s="417">
        <f t="shared" si="94"/>
        <v>0</v>
      </c>
      <c r="I440" s="50">
        <f t="shared" si="87"/>
        <v>0</v>
      </c>
      <c r="J440" s="57">
        <f t="shared" si="95"/>
        <v>0</v>
      </c>
      <c r="K440" s="58">
        <f t="shared" si="98"/>
        <v>0</v>
      </c>
      <c r="L440" s="57">
        <f t="shared" si="96"/>
        <v>0</v>
      </c>
      <c r="M440" s="59">
        <f t="shared" si="97"/>
        <v>0</v>
      </c>
      <c r="N440" s="112"/>
      <c r="O440" s="57"/>
      <c r="P440" s="112"/>
    </row>
    <row r="441" spans="1:16" ht="15.75" thickBot="1" x14ac:dyDescent="0.25">
      <c r="A441" s="166">
        <v>8005610415963</v>
      </c>
      <c r="B441" s="10" t="s">
        <v>44</v>
      </c>
      <c r="C441" s="309" t="s">
        <v>475</v>
      </c>
      <c r="D441" s="167" t="s">
        <v>302</v>
      </c>
      <c r="E441" s="52">
        <v>509.67899999999997</v>
      </c>
      <c r="F441" s="62"/>
      <c r="G441" s="543"/>
      <c r="H441" s="434">
        <f t="shared" si="94"/>
        <v>0</v>
      </c>
      <c r="I441" s="50">
        <f t="shared" si="87"/>
        <v>0</v>
      </c>
      <c r="J441" s="57">
        <f t="shared" si="95"/>
        <v>0</v>
      </c>
      <c r="K441" s="64">
        <f t="shared" si="98"/>
        <v>0</v>
      </c>
      <c r="L441" s="63">
        <f t="shared" si="96"/>
        <v>0</v>
      </c>
      <c r="M441" s="65">
        <f t="shared" si="97"/>
        <v>0</v>
      </c>
      <c r="N441" s="112"/>
      <c r="O441" s="57"/>
      <c r="P441" s="112"/>
    </row>
    <row r="442" spans="1:16" ht="15.75" thickBot="1" x14ac:dyDescent="0.25">
      <c r="A442" s="168"/>
      <c r="B442" s="169"/>
      <c r="C442" s="309" t="e">
        <v>#N/A</v>
      </c>
      <c r="D442" s="170" t="s">
        <v>303</v>
      </c>
      <c r="E442" s="505"/>
      <c r="F442" s="171"/>
      <c r="G442" s="559"/>
      <c r="H442" s="172">
        <f t="shared" si="94"/>
        <v>0</v>
      </c>
      <c r="I442" s="172"/>
      <c r="J442" s="173"/>
      <c r="K442" s="172"/>
      <c r="L442" s="172"/>
      <c r="M442" s="174"/>
      <c r="N442" s="112"/>
      <c r="O442" s="57"/>
      <c r="P442" s="112"/>
    </row>
    <row r="443" spans="1:16" x14ac:dyDescent="0.2">
      <c r="A443" s="159">
        <v>99240035343</v>
      </c>
      <c r="B443" s="10" t="s">
        <v>44</v>
      </c>
      <c r="C443" s="309" t="s">
        <v>475</v>
      </c>
      <c r="D443" s="158" t="s">
        <v>304</v>
      </c>
      <c r="E443" s="52">
        <v>269.41005000000001</v>
      </c>
      <c r="F443" s="56"/>
      <c r="G443" s="543"/>
      <c r="H443" s="417">
        <f t="shared" ref="H443:H449" si="99">(F443+G443)</f>
        <v>0</v>
      </c>
      <c r="I443" s="50">
        <f t="shared" si="87"/>
        <v>0</v>
      </c>
      <c r="J443" s="57">
        <f t="shared" ref="J443:J449" si="100">I443*$M$20</f>
        <v>0</v>
      </c>
      <c r="K443" s="58">
        <f t="shared" ref="K443:K449" si="101">I443-J443</f>
        <v>0</v>
      </c>
      <c r="L443" s="57">
        <f t="shared" ref="L443:L449" si="102">K443*$P$5</f>
        <v>0</v>
      </c>
      <c r="M443" s="59">
        <f t="shared" ref="M443:M449" si="103">K443+L443</f>
        <v>0</v>
      </c>
      <c r="N443" s="112"/>
      <c r="O443" s="57"/>
      <c r="P443" s="112"/>
    </row>
    <row r="444" spans="1:16" x14ac:dyDescent="0.2">
      <c r="A444" s="159">
        <v>99240035354</v>
      </c>
      <c r="B444" s="10" t="s">
        <v>44</v>
      </c>
      <c r="C444" s="309" t="s">
        <v>475</v>
      </c>
      <c r="D444" s="158" t="s">
        <v>305</v>
      </c>
      <c r="E444" s="52">
        <v>580.24199999999996</v>
      </c>
      <c r="F444" s="56"/>
      <c r="G444" s="543"/>
      <c r="H444" s="417">
        <f t="shared" si="99"/>
        <v>0</v>
      </c>
      <c r="I444" s="50">
        <f t="shared" si="87"/>
        <v>0</v>
      </c>
      <c r="J444" s="57">
        <f t="shared" si="100"/>
        <v>0</v>
      </c>
      <c r="K444" s="58">
        <f t="shared" si="101"/>
        <v>0</v>
      </c>
      <c r="L444" s="57">
        <f t="shared" si="102"/>
        <v>0</v>
      </c>
      <c r="M444" s="59">
        <f t="shared" si="103"/>
        <v>0</v>
      </c>
      <c r="N444" s="112"/>
      <c r="O444" s="57"/>
      <c r="P444" s="112"/>
    </row>
    <row r="445" spans="1:16" x14ac:dyDescent="0.2">
      <c r="A445" s="159">
        <v>99240060951</v>
      </c>
      <c r="B445" s="10" t="s">
        <v>44</v>
      </c>
      <c r="C445" s="309" t="s">
        <v>475</v>
      </c>
      <c r="D445" s="158" t="s">
        <v>306</v>
      </c>
      <c r="E445" s="52">
        <v>323.15360000000004</v>
      </c>
      <c r="F445" s="56"/>
      <c r="G445" s="543"/>
      <c r="H445" s="417">
        <f t="shared" si="99"/>
        <v>0</v>
      </c>
      <c r="I445" s="50">
        <f t="shared" si="87"/>
        <v>0</v>
      </c>
      <c r="J445" s="57">
        <f t="shared" si="100"/>
        <v>0</v>
      </c>
      <c r="K445" s="58">
        <f t="shared" si="101"/>
        <v>0</v>
      </c>
      <c r="L445" s="57">
        <f t="shared" si="102"/>
        <v>0</v>
      </c>
      <c r="M445" s="59">
        <f t="shared" si="103"/>
        <v>0</v>
      </c>
      <c r="N445" s="112"/>
      <c r="O445" s="57"/>
      <c r="P445" s="112"/>
    </row>
    <row r="446" spans="1:16" x14ac:dyDescent="0.2">
      <c r="A446" s="159">
        <v>99240061007</v>
      </c>
      <c r="B446" s="10" t="s">
        <v>44</v>
      </c>
      <c r="C446" s="309" t="s">
        <v>475</v>
      </c>
      <c r="D446" s="158" t="s">
        <v>307</v>
      </c>
      <c r="E446" s="52">
        <v>390.69800000000004</v>
      </c>
      <c r="F446" s="56"/>
      <c r="G446" s="543"/>
      <c r="H446" s="417">
        <f t="shared" si="99"/>
        <v>0</v>
      </c>
      <c r="I446" s="50">
        <f t="shared" si="87"/>
        <v>0</v>
      </c>
      <c r="J446" s="57">
        <f t="shared" si="100"/>
        <v>0</v>
      </c>
      <c r="K446" s="58">
        <f t="shared" si="101"/>
        <v>0</v>
      </c>
      <c r="L446" s="57">
        <f t="shared" si="102"/>
        <v>0</v>
      </c>
      <c r="M446" s="59">
        <f t="shared" si="103"/>
        <v>0</v>
      </c>
      <c r="N446" s="112"/>
      <c r="O446" s="57"/>
      <c r="P446" s="112"/>
    </row>
    <row r="447" spans="1:16" x14ac:dyDescent="0.2">
      <c r="A447" s="159">
        <v>99240061030</v>
      </c>
      <c r="B447" s="10" t="s">
        <v>44</v>
      </c>
      <c r="C447" s="309" t="s">
        <v>475</v>
      </c>
      <c r="D447" s="158" t="s">
        <v>308</v>
      </c>
      <c r="E447" s="52">
        <v>820.02935000000002</v>
      </c>
      <c r="F447" s="56"/>
      <c r="G447" s="543"/>
      <c r="H447" s="417">
        <f t="shared" si="99"/>
        <v>0</v>
      </c>
      <c r="I447" s="50">
        <f t="shared" si="87"/>
        <v>0</v>
      </c>
      <c r="J447" s="57">
        <f t="shared" si="100"/>
        <v>0</v>
      </c>
      <c r="K447" s="58">
        <f t="shared" si="101"/>
        <v>0</v>
      </c>
      <c r="L447" s="57">
        <f t="shared" si="102"/>
        <v>0</v>
      </c>
      <c r="M447" s="59">
        <f t="shared" si="103"/>
        <v>0</v>
      </c>
      <c r="N447" s="112"/>
      <c r="O447" s="57"/>
      <c r="P447" s="112"/>
    </row>
    <row r="448" spans="1:16" x14ac:dyDescent="0.2">
      <c r="A448" s="159">
        <v>99240039246</v>
      </c>
      <c r="B448" s="10" t="s">
        <v>44</v>
      </c>
      <c r="C448" s="309" t="s">
        <v>475</v>
      </c>
      <c r="D448" s="158" t="s">
        <v>309</v>
      </c>
      <c r="E448" s="52">
        <v>337.71125000000001</v>
      </c>
      <c r="F448" s="56"/>
      <c r="G448" s="543"/>
      <c r="H448" s="417">
        <f t="shared" si="99"/>
        <v>0</v>
      </c>
      <c r="I448" s="50">
        <f t="shared" si="87"/>
        <v>0</v>
      </c>
      <c r="J448" s="57">
        <f t="shared" si="100"/>
        <v>0</v>
      </c>
      <c r="K448" s="58">
        <f t="shared" si="101"/>
        <v>0</v>
      </c>
      <c r="L448" s="57">
        <f t="shared" si="102"/>
        <v>0</v>
      </c>
      <c r="M448" s="59">
        <f t="shared" si="103"/>
        <v>0</v>
      </c>
      <c r="N448" s="112"/>
      <c r="O448" s="57"/>
      <c r="P448" s="112"/>
    </row>
    <row r="449" spans="1:16" ht="15.75" thickBot="1" x14ac:dyDescent="0.25">
      <c r="A449" s="159">
        <v>99240044504</v>
      </c>
      <c r="B449" s="10" t="s">
        <v>44</v>
      </c>
      <c r="C449" s="309" t="s">
        <v>475</v>
      </c>
      <c r="D449" s="158" t="s">
        <v>310</v>
      </c>
      <c r="E449" s="52">
        <v>337.71125000000001</v>
      </c>
      <c r="F449" s="56"/>
      <c r="G449" s="543"/>
      <c r="H449" s="417">
        <f t="shared" si="99"/>
        <v>0</v>
      </c>
      <c r="I449" s="50">
        <f t="shared" si="87"/>
        <v>0</v>
      </c>
      <c r="J449" s="57">
        <f t="shared" si="100"/>
        <v>0</v>
      </c>
      <c r="K449" s="58">
        <f t="shared" si="101"/>
        <v>0</v>
      </c>
      <c r="L449" s="57">
        <f t="shared" si="102"/>
        <v>0</v>
      </c>
      <c r="M449" s="59">
        <f t="shared" si="103"/>
        <v>0</v>
      </c>
      <c r="N449" s="112"/>
      <c r="O449" s="57"/>
      <c r="P449" s="112"/>
    </row>
    <row r="450" spans="1:16" ht="15.75" thickBot="1" x14ac:dyDescent="0.25">
      <c r="A450" s="176"/>
      <c r="B450" s="177"/>
      <c r="C450" s="309" t="e">
        <v>#N/A</v>
      </c>
      <c r="D450" s="178" t="s">
        <v>311</v>
      </c>
      <c r="E450" s="506"/>
      <c r="F450" s="179"/>
      <c r="G450" s="560"/>
      <c r="H450" s="180"/>
      <c r="I450" s="180"/>
      <c r="J450" s="181"/>
      <c r="K450" s="180"/>
      <c r="L450" s="180"/>
      <c r="M450" s="182"/>
      <c r="N450" s="112"/>
      <c r="O450" s="57"/>
      <c r="P450" s="112"/>
    </row>
    <row r="451" spans="1:16" x14ac:dyDescent="0.2">
      <c r="A451" s="159">
        <v>99240015900</v>
      </c>
      <c r="B451" s="10" t="s">
        <v>44</v>
      </c>
      <c r="C451" s="309" t="s">
        <v>475</v>
      </c>
      <c r="D451" s="158" t="s">
        <v>312</v>
      </c>
      <c r="E451" s="52">
        <v>269.41005000000001</v>
      </c>
      <c r="F451" s="56"/>
      <c r="G451" s="543"/>
      <c r="H451" s="417">
        <f t="shared" ref="H451:H457" si="104">(F451+G451)</f>
        <v>0</v>
      </c>
      <c r="I451" s="50">
        <f t="shared" si="87"/>
        <v>0</v>
      </c>
      <c r="J451" s="57">
        <f t="shared" ref="J451:J457" si="105">I451*$M$20</f>
        <v>0</v>
      </c>
      <c r="K451" s="58">
        <f t="shared" ref="K451:K457" si="106">I451-J451</f>
        <v>0</v>
      </c>
      <c r="L451" s="57">
        <f t="shared" ref="L451:L457" si="107">K451*$P$5</f>
        <v>0</v>
      </c>
      <c r="M451" s="59">
        <f t="shared" ref="M451:M457" si="108">K451+L451</f>
        <v>0</v>
      </c>
      <c r="N451" s="112"/>
      <c r="O451" s="57"/>
      <c r="P451" s="112"/>
    </row>
    <row r="452" spans="1:16" x14ac:dyDescent="0.2">
      <c r="A452" s="159">
        <v>99240015891</v>
      </c>
      <c r="B452" s="10" t="s">
        <v>44</v>
      </c>
      <c r="C452" s="309" t="s">
        <v>475</v>
      </c>
      <c r="D452" s="158" t="s">
        <v>313</v>
      </c>
      <c r="E452" s="52">
        <v>580.24199999999996</v>
      </c>
      <c r="F452" s="56"/>
      <c r="G452" s="543"/>
      <c r="H452" s="417">
        <f t="shared" si="104"/>
        <v>0</v>
      </c>
      <c r="I452" s="50">
        <f t="shared" si="87"/>
        <v>0</v>
      </c>
      <c r="J452" s="57">
        <f t="shared" si="105"/>
        <v>0</v>
      </c>
      <c r="K452" s="58">
        <f t="shared" si="106"/>
        <v>0</v>
      </c>
      <c r="L452" s="57">
        <f t="shared" si="107"/>
        <v>0</v>
      </c>
      <c r="M452" s="59">
        <f t="shared" si="108"/>
        <v>0</v>
      </c>
      <c r="N452" s="112"/>
      <c r="O452" s="57"/>
      <c r="P452" s="112"/>
    </row>
    <row r="453" spans="1:16" x14ac:dyDescent="0.2">
      <c r="A453" s="159">
        <v>99240016215</v>
      </c>
      <c r="B453" s="10" t="s">
        <v>44</v>
      </c>
      <c r="C453" s="309" t="s">
        <v>475</v>
      </c>
      <c r="D453" s="158" t="s">
        <v>314</v>
      </c>
      <c r="E453" s="52">
        <v>443</v>
      </c>
      <c r="F453" s="56"/>
      <c r="G453" s="543"/>
      <c r="H453" s="417">
        <f t="shared" si="104"/>
        <v>0</v>
      </c>
      <c r="I453" s="50">
        <f t="shared" si="87"/>
        <v>0</v>
      </c>
      <c r="J453" s="57">
        <f t="shared" si="105"/>
        <v>0</v>
      </c>
      <c r="K453" s="58">
        <f t="shared" si="106"/>
        <v>0</v>
      </c>
      <c r="L453" s="57">
        <f t="shared" si="107"/>
        <v>0</v>
      </c>
      <c r="M453" s="59">
        <f t="shared" si="108"/>
        <v>0</v>
      </c>
      <c r="N453" s="112"/>
      <c r="O453" s="57"/>
      <c r="P453" s="112"/>
    </row>
    <row r="454" spans="1:16" x14ac:dyDescent="0.2">
      <c r="A454" s="159">
        <v>99240015902</v>
      </c>
      <c r="B454" s="10" t="s">
        <v>44</v>
      </c>
      <c r="C454" s="309" t="s">
        <v>475</v>
      </c>
      <c r="D454" s="158" t="s">
        <v>315</v>
      </c>
      <c r="E454" s="52">
        <v>390.69800000000004</v>
      </c>
      <c r="F454" s="56"/>
      <c r="G454" s="543"/>
      <c r="H454" s="417">
        <f t="shared" si="104"/>
        <v>0</v>
      </c>
      <c r="I454" s="50">
        <f t="shared" si="87"/>
        <v>0</v>
      </c>
      <c r="J454" s="57">
        <f t="shared" si="105"/>
        <v>0</v>
      </c>
      <c r="K454" s="58">
        <f t="shared" si="106"/>
        <v>0</v>
      </c>
      <c r="L454" s="57">
        <f t="shared" si="107"/>
        <v>0</v>
      </c>
      <c r="M454" s="59">
        <f t="shared" si="108"/>
        <v>0</v>
      </c>
      <c r="N454" s="112"/>
      <c r="O454" s="57"/>
      <c r="P454" s="112"/>
    </row>
    <row r="455" spans="1:16" x14ac:dyDescent="0.2">
      <c r="A455" s="159">
        <v>99240015892</v>
      </c>
      <c r="B455" s="10" t="s">
        <v>44</v>
      </c>
      <c r="C455" s="309" t="s">
        <v>475</v>
      </c>
      <c r="D455" s="158" t="s">
        <v>316</v>
      </c>
      <c r="E455" s="52">
        <v>820.02935000000002</v>
      </c>
      <c r="F455" s="56"/>
      <c r="G455" s="543"/>
      <c r="H455" s="417">
        <f t="shared" si="104"/>
        <v>0</v>
      </c>
      <c r="I455" s="50">
        <f t="shared" si="87"/>
        <v>0</v>
      </c>
      <c r="J455" s="57">
        <f t="shared" si="105"/>
        <v>0</v>
      </c>
      <c r="K455" s="58">
        <f t="shared" si="106"/>
        <v>0</v>
      </c>
      <c r="L455" s="57">
        <f t="shared" si="107"/>
        <v>0</v>
      </c>
      <c r="M455" s="59">
        <f t="shared" si="108"/>
        <v>0</v>
      </c>
      <c r="N455" s="112"/>
      <c r="O455" s="57"/>
      <c r="P455" s="112"/>
    </row>
    <row r="456" spans="1:16" x14ac:dyDescent="0.2">
      <c r="A456" s="159">
        <v>99240015883</v>
      </c>
      <c r="B456" s="10" t="s">
        <v>44</v>
      </c>
      <c r="C456" s="309" t="s">
        <v>475</v>
      </c>
      <c r="D456" s="158" t="s">
        <v>317</v>
      </c>
      <c r="E456" s="52">
        <v>323.15360000000004</v>
      </c>
      <c r="F456" s="56"/>
      <c r="G456" s="543"/>
      <c r="H456" s="417">
        <f t="shared" si="104"/>
        <v>0</v>
      </c>
      <c r="I456" s="50">
        <f t="shared" si="87"/>
        <v>0</v>
      </c>
      <c r="J456" s="57">
        <f t="shared" si="105"/>
        <v>0</v>
      </c>
      <c r="K456" s="58">
        <f t="shared" si="106"/>
        <v>0</v>
      </c>
      <c r="L456" s="57">
        <f t="shared" si="107"/>
        <v>0</v>
      </c>
      <c r="M456" s="59">
        <f t="shared" si="108"/>
        <v>0</v>
      </c>
      <c r="N456" s="112"/>
      <c r="O456" s="57"/>
      <c r="P456" s="112"/>
    </row>
    <row r="457" spans="1:16" ht="15.75" thickBot="1" x14ac:dyDescent="0.25">
      <c r="A457" s="183">
        <v>99350145754</v>
      </c>
      <c r="B457" s="10" t="s">
        <v>44</v>
      </c>
      <c r="C457" s="309" t="s">
        <v>475</v>
      </c>
      <c r="D457" s="184" t="s">
        <v>318</v>
      </c>
      <c r="E457" s="155">
        <v>713.06900000000007</v>
      </c>
      <c r="F457" s="185"/>
      <c r="G457" s="561"/>
      <c r="H457" s="417">
        <f t="shared" si="104"/>
        <v>0</v>
      </c>
      <c r="I457" s="50">
        <f t="shared" si="87"/>
        <v>0</v>
      </c>
      <c r="J457" s="57">
        <f t="shared" si="105"/>
        <v>0</v>
      </c>
      <c r="K457" s="58">
        <f t="shared" si="106"/>
        <v>0</v>
      </c>
      <c r="L457" s="57">
        <f t="shared" si="107"/>
        <v>0</v>
      </c>
      <c r="M457" s="59">
        <f t="shared" si="108"/>
        <v>0</v>
      </c>
      <c r="N457" s="112"/>
      <c r="O457" s="57"/>
      <c r="P457" s="112"/>
    </row>
    <row r="458" spans="1:16" ht="15.75" thickBot="1" x14ac:dyDescent="0.25">
      <c r="A458" s="187"/>
      <c r="B458" s="188"/>
      <c r="C458" s="309" t="e">
        <v>#N/A</v>
      </c>
      <c r="D458" s="189" t="s">
        <v>319</v>
      </c>
      <c r="E458" s="507"/>
      <c r="F458" s="190"/>
      <c r="G458" s="187"/>
      <c r="H458" s="191"/>
      <c r="I458" s="191"/>
      <c r="J458" s="192"/>
      <c r="K458" s="191"/>
      <c r="L458" s="191"/>
      <c r="M458" s="193"/>
      <c r="N458" s="112"/>
      <c r="O458" s="57"/>
      <c r="P458" s="112"/>
    </row>
    <row r="459" spans="1:16" x14ac:dyDescent="0.2">
      <c r="A459" s="194">
        <v>99350097076</v>
      </c>
      <c r="B459" s="10" t="s">
        <v>44</v>
      </c>
      <c r="C459" s="309" t="s">
        <v>535</v>
      </c>
      <c r="D459" s="195" t="s">
        <v>320</v>
      </c>
      <c r="E459" s="52">
        <v>269.41005000000001</v>
      </c>
      <c r="F459" s="56"/>
      <c r="G459" s="562"/>
      <c r="H459" s="417">
        <f t="shared" ref="H459:H465" si="109">(F459+G459)</f>
        <v>0</v>
      </c>
      <c r="I459" s="50">
        <f t="shared" si="87"/>
        <v>0</v>
      </c>
      <c r="J459" s="57">
        <f t="shared" ref="J459:J465" si="110">I459*$M$20</f>
        <v>0</v>
      </c>
      <c r="K459" s="58">
        <f t="shared" ref="K459:K465" si="111">I459-J459</f>
        <v>0</v>
      </c>
      <c r="L459" s="57">
        <f t="shared" ref="L459:L465" si="112">K459*$P$5</f>
        <v>0</v>
      </c>
      <c r="M459" s="59">
        <f t="shared" ref="M459:M465" si="113">K459+L459</f>
        <v>0</v>
      </c>
      <c r="N459" s="112"/>
      <c r="O459" s="57"/>
      <c r="P459" s="112"/>
    </row>
    <row r="460" spans="1:16" x14ac:dyDescent="0.2">
      <c r="A460" s="194">
        <v>99350104190</v>
      </c>
      <c r="B460" s="10" t="s">
        <v>44</v>
      </c>
      <c r="C460" s="309" t="s">
        <v>475</v>
      </c>
      <c r="D460" s="195" t="s">
        <v>321</v>
      </c>
      <c r="E460" s="52">
        <v>580.24199999999996</v>
      </c>
      <c r="F460" s="56"/>
      <c r="G460" s="562"/>
      <c r="H460" s="417">
        <f t="shared" si="109"/>
        <v>0</v>
      </c>
      <c r="I460" s="50">
        <f t="shared" si="87"/>
        <v>0</v>
      </c>
      <c r="J460" s="57">
        <f t="shared" si="110"/>
        <v>0</v>
      </c>
      <c r="K460" s="58">
        <f t="shared" si="111"/>
        <v>0</v>
      </c>
      <c r="L460" s="57">
        <f t="shared" si="112"/>
        <v>0</v>
      </c>
      <c r="M460" s="59">
        <f t="shared" si="113"/>
        <v>0</v>
      </c>
      <c r="N460" s="112"/>
      <c r="O460" s="57"/>
      <c r="P460" s="112"/>
    </row>
    <row r="461" spans="1:16" x14ac:dyDescent="0.2">
      <c r="A461" s="194">
        <v>99350104191</v>
      </c>
      <c r="B461" s="10" t="s">
        <v>44</v>
      </c>
      <c r="C461" s="309" t="s">
        <v>475</v>
      </c>
      <c r="D461" s="195" t="s">
        <v>322</v>
      </c>
      <c r="E461" s="52">
        <v>323.15360000000004</v>
      </c>
      <c r="F461" s="56"/>
      <c r="G461" s="562"/>
      <c r="H461" s="417">
        <f t="shared" si="109"/>
        <v>0</v>
      </c>
      <c r="I461" s="50">
        <f t="shared" si="87"/>
        <v>0</v>
      </c>
      <c r="J461" s="57">
        <f t="shared" si="110"/>
        <v>0</v>
      </c>
      <c r="K461" s="58">
        <f t="shared" si="111"/>
        <v>0</v>
      </c>
      <c r="L461" s="57">
        <f t="shared" si="112"/>
        <v>0</v>
      </c>
      <c r="M461" s="59">
        <f t="shared" si="113"/>
        <v>0</v>
      </c>
      <c r="N461" s="112"/>
      <c r="O461" s="57"/>
      <c r="P461" s="112"/>
    </row>
    <row r="462" spans="1:16" x14ac:dyDescent="0.2">
      <c r="A462" s="194">
        <v>99350104192</v>
      </c>
      <c r="B462" s="10" t="s">
        <v>44</v>
      </c>
      <c r="C462" s="309" t="s">
        <v>475</v>
      </c>
      <c r="D462" s="195" t="s">
        <v>323</v>
      </c>
      <c r="E462" s="52">
        <v>713.06900000000007</v>
      </c>
      <c r="F462" s="56"/>
      <c r="G462" s="562"/>
      <c r="H462" s="417">
        <f t="shared" si="109"/>
        <v>0</v>
      </c>
      <c r="I462" s="50">
        <f t="shared" si="87"/>
        <v>0</v>
      </c>
      <c r="J462" s="57">
        <f t="shared" si="110"/>
        <v>0</v>
      </c>
      <c r="K462" s="58">
        <f t="shared" si="111"/>
        <v>0</v>
      </c>
      <c r="L462" s="57">
        <f t="shared" si="112"/>
        <v>0</v>
      </c>
      <c r="M462" s="59">
        <f t="shared" si="113"/>
        <v>0</v>
      </c>
      <c r="N462" s="112"/>
      <c r="O462" s="57"/>
      <c r="P462" s="112"/>
    </row>
    <row r="463" spans="1:16" x14ac:dyDescent="0.2">
      <c r="A463" s="194">
        <v>99350104193</v>
      </c>
      <c r="B463" s="10" t="s">
        <v>44</v>
      </c>
      <c r="C463" s="309" t="s">
        <v>475</v>
      </c>
      <c r="D463" s="195" t="s">
        <v>324</v>
      </c>
      <c r="E463" s="52">
        <v>390.69800000000004</v>
      </c>
      <c r="F463" s="56"/>
      <c r="G463" s="562"/>
      <c r="H463" s="417">
        <f t="shared" si="109"/>
        <v>0</v>
      </c>
      <c r="I463" s="50">
        <f t="shared" si="87"/>
        <v>0</v>
      </c>
      <c r="J463" s="57">
        <f t="shared" si="110"/>
        <v>0</v>
      </c>
      <c r="K463" s="58">
        <f t="shared" si="111"/>
        <v>0</v>
      </c>
      <c r="L463" s="57">
        <f t="shared" si="112"/>
        <v>0</v>
      </c>
      <c r="M463" s="59">
        <f t="shared" si="113"/>
        <v>0</v>
      </c>
      <c r="N463" s="112"/>
      <c r="O463" s="57"/>
      <c r="P463" s="112"/>
    </row>
    <row r="464" spans="1:16" x14ac:dyDescent="0.2">
      <c r="A464" s="194">
        <v>99350104200</v>
      </c>
      <c r="B464" s="10" t="s">
        <v>44</v>
      </c>
      <c r="C464" s="309" t="s">
        <v>475</v>
      </c>
      <c r="D464" s="195" t="s">
        <v>325</v>
      </c>
      <c r="E464" s="52">
        <v>820.02935000000002</v>
      </c>
      <c r="F464" s="56"/>
      <c r="G464" s="562"/>
      <c r="H464" s="417">
        <f t="shared" si="109"/>
        <v>0</v>
      </c>
      <c r="I464" s="50">
        <f t="shared" si="87"/>
        <v>0</v>
      </c>
      <c r="J464" s="57">
        <f t="shared" si="110"/>
        <v>0</v>
      </c>
      <c r="K464" s="58">
        <f t="shared" si="111"/>
        <v>0</v>
      </c>
      <c r="L464" s="57">
        <f t="shared" si="112"/>
        <v>0</v>
      </c>
      <c r="M464" s="59">
        <f t="shared" si="113"/>
        <v>0</v>
      </c>
      <c r="N464" s="112"/>
      <c r="O464" s="57"/>
      <c r="P464" s="112"/>
    </row>
    <row r="465" spans="1:16" ht="15.75" thickBot="1" x14ac:dyDescent="0.25">
      <c r="A465" s="194">
        <v>99350094927</v>
      </c>
      <c r="B465" s="10" t="s">
        <v>44</v>
      </c>
      <c r="C465" s="309" t="s">
        <v>475</v>
      </c>
      <c r="D465" s="195" t="s">
        <v>326</v>
      </c>
      <c r="E465" s="52">
        <v>337.71125000000001</v>
      </c>
      <c r="F465" s="56"/>
      <c r="G465" s="562"/>
      <c r="H465" s="417">
        <f t="shared" si="109"/>
        <v>0</v>
      </c>
      <c r="I465" s="50">
        <f t="shared" si="87"/>
        <v>0</v>
      </c>
      <c r="J465" s="57">
        <f t="shared" si="110"/>
        <v>0</v>
      </c>
      <c r="K465" s="58">
        <f t="shared" si="111"/>
        <v>0</v>
      </c>
      <c r="L465" s="57">
        <f t="shared" si="112"/>
        <v>0</v>
      </c>
      <c r="M465" s="59">
        <f t="shared" si="113"/>
        <v>0</v>
      </c>
      <c r="N465" s="112"/>
      <c r="O465" s="57"/>
      <c r="P465" s="112"/>
    </row>
    <row r="466" spans="1:16" ht="15.75" thickBot="1" x14ac:dyDescent="0.25">
      <c r="A466" s="275"/>
      <c r="B466" s="276"/>
      <c r="C466" s="309" t="e">
        <v>#N/A</v>
      </c>
      <c r="D466" s="277" t="s">
        <v>462</v>
      </c>
      <c r="E466" s="508"/>
      <c r="F466" s="381"/>
      <c r="G466" s="563"/>
      <c r="H466" s="279"/>
      <c r="I466" s="279"/>
      <c r="J466" s="278"/>
      <c r="K466" s="279"/>
      <c r="L466" s="279"/>
      <c r="M466" s="279"/>
      <c r="N466" s="112"/>
      <c r="O466" s="57"/>
      <c r="P466" s="112"/>
    </row>
    <row r="467" spans="1:16" x14ac:dyDescent="0.2">
      <c r="A467" s="159">
        <v>4064666579931</v>
      </c>
      <c r="B467" s="10" t="s">
        <v>463</v>
      </c>
      <c r="C467" s="309" t="s">
        <v>475</v>
      </c>
      <c r="D467" s="158" t="s">
        <v>464</v>
      </c>
      <c r="E467" s="518">
        <v>853.89</v>
      </c>
      <c r="F467" s="80"/>
      <c r="G467" s="545"/>
      <c r="H467" s="417">
        <f t="shared" ref="H467:H477" si="114">(F467+G467)</f>
        <v>0</v>
      </c>
      <c r="I467" s="50">
        <f t="shared" si="87"/>
        <v>0</v>
      </c>
      <c r="J467" s="57">
        <f>I467*0.25</f>
        <v>0</v>
      </c>
      <c r="K467" s="58">
        <f t="shared" ref="K467:K477" si="115">I467-J467</f>
        <v>0</v>
      </c>
      <c r="L467" s="57">
        <f t="shared" ref="L467:L477" si="116">K467*$P$5</f>
        <v>0</v>
      </c>
      <c r="M467" s="59">
        <f t="shared" ref="M467:M477" si="117">K467+L467</f>
        <v>0</v>
      </c>
      <c r="N467" s="112"/>
      <c r="O467" s="57"/>
      <c r="P467" s="112"/>
    </row>
    <row r="468" spans="1:16" x14ac:dyDescent="0.2">
      <c r="A468" s="159">
        <v>4064666579924</v>
      </c>
      <c r="B468" s="10" t="s">
        <v>463</v>
      </c>
      <c r="C468" s="309" t="s">
        <v>475</v>
      </c>
      <c r="D468" s="158" t="s">
        <v>465</v>
      </c>
      <c r="E468" s="518">
        <v>370.07</v>
      </c>
      <c r="F468" s="80"/>
      <c r="G468" s="545"/>
      <c r="H468" s="417">
        <f t="shared" si="114"/>
        <v>0</v>
      </c>
      <c r="I468" s="50">
        <f t="shared" si="87"/>
        <v>0</v>
      </c>
      <c r="J468" s="57">
        <f>I468*0.25</f>
        <v>0</v>
      </c>
      <c r="K468" s="58">
        <f t="shared" si="115"/>
        <v>0</v>
      </c>
      <c r="L468" s="57">
        <f t="shared" si="116"/>
        <v>0</v>
      </c>
      <c r="M468" s="59">
        <f t="shared" si="117"/>
        <v>0</v>
      </c>
      <c r="N468" s="112"/>
      <c r="O468" s="57"/>
      <c r="P468" s="112"/>
    </row>
    <row r="469" spans="1:16" x14ac:dyDescent="0.2">
      <c r="A469" s="159">
        <v>4064666336206</v>
      </c>
      <c r="B469" s="10" t="s">
        <v>463</v>
      </c>
      <c r="C469" s="309" t="s">
        <v>475</v>
      </c>
      <c r="D469" s="158" t="s">
        <v>466</v>
      </c>
      <c r="E469" s="52">
        <v>618.10500000000002</v>
      </c>
      <c r="F469" s="80"/>
      <c r="G469" s="545"/>
      <c r="H469" s="417">
        <f t="shared" si="114"/>
        <v>0</v>
      </c>
      <c r="I469" s="50">
        <f t="shared" si="87"/>
        <v>0</v>
      </c>
      <c r="J469" s="57">
        <f t="shared" ref="J469:J477" si="118">I469*0.25</f>
        <v>0</v>
      </c>
      <c r="K469" s="58">
        <f t="shared" si="115"/>
        <v>0</v>
      </c>
      <c r="L469" s="57">
        <f t="shared" si="116"/>
        <v>0</v>
      </c>
      <c r="M469" s="59">
        <f t="shared" si="117"/>
        <v>0</v>
      </c>
      <c r="N469" s="112"/>
      <c r="O469" s="57"/>
      <c r="P469" s="112"/>
    </row>
    <row r="470" spans="1:16" x14ac:dyDescent="0.2">
      <c r="A470" s="159">
        <v>4064666336169</v>
      </c>
      <c r="B470" s="10" t="s">
        <v>463</v>
      </c>
      <c r="C470" s="309" t="s">
        <v>475</v>
      </c>
      <c r="D470" s="158" t="s">
        <v>467</v>
      </c>
      <c r="E470" s="52">
        <v>462.74425287356325</v>
      </c>
      <c r="F470" s="80"/>
      <c r="G470" s="545"/>
      <c r="H470" s="417">
        <f t="shared" si="114"/>
        <v>0</v>
      </c>
      <c r="I470" s="50">
        <f t="shared" si="87"/>
        <v>0</v>
      </c>
      <c r="J470" s="57">
        <f t="shared" si="118"/>
        <v>0</v>
      </c>
      <c r="K470" s="58">
        <f t="shared" si="115"/>
        <v>0</v>
      </c>
      <c r="L470" s="57">
        <f t="shared" si="116"/>
        <v>0</v>
      </c>
      <c r="M470" s="59">
        <f t="shared" si="117"/>
        <v>0</v>
      </c>
      <c r="N470" s="112"/>
      <c r="O470" s="57"/>
      <c r="P470" s="112"/>
    </row>
    <row r="471" spans="1:16" x14ac:dyDescent="0.2">
      <c r="A471" s="485">
        <v>99350187667</v>
      </c>
      <c r="B471" s="10" t="s">
        <v>463</v>
      </c>
      <c r="C471" s="309" t="s">
        <v>475</v>
      </c>
      <c r="D471" s="158" t="s">
        <v>468</v>
      </c>
      <c r="E471" s="577">
        <v>342.51</v>
      </c>
      <c r="F471" s="80"/>
      <c r="G471" s="545"/>
      <c r="H471" s="417">
        <f t="shared" si="114"/>
        <v>0</v>
      </c>
      <c r="I471" s="50">
        <f t="shared" si="87"/>
        <v>0</v>
      </c>
      <c r="J471" s="57">
        <f t="shared" si="118"/>
        <v>0</v>
      </c>
      <c r="K471" s="58">
        <f t="shared" si="115"/>
        <v>0</v>
      </c>
      <c r="L471" s="57">
        <f t="shared" si="116"/>
        <v>0</v>
      </c>
      <c r="M471" s="59">
        <f t="shared" si="117"/>
        <v>0</v>
      </c>
      <c r="N471" s="112"/>
      <c r="O471" s="57"/>
      <c r="P471" s="112"/>
    </row>
    <row r="472" spans="1:16" x14ac:dyDescent="0.2">
      <c r="A472" s="159">
        <v>4064666580050</v>
      </c>
      <c r="B472" s="10" t="s">
        <v>463</v>
      </c>
      <c r="C472" s="309" t="s">
        <v>475</v>
      </c>
      <c r="D472" s="158" t="s">
        <v>469</v>
      </c>
      <c r="E472" s="52">
        <v>1093.5344827586209</v>
      </c>
      <c r="F472" s="80"/>
      <c r="G472" s="545"/>
      <c r="H472" s="417">
        <f t="shared" si="114"/>
        <v>0</v>
      </c>
      <c r="I472" s="50">
        <f t="shared" si="87"/>
        <v>0</v>
      </c>
      <c r="J472" s="57">
        <f t="shared" si="118"/>
        <v>0</v>
      </c>
      <c r="K472" s="58">
        <f t="shared" si="115"/>
        <v>0</v>
      </c>
      <c r="L472" s="57">
        <f t="shared" si="116"/>
        <v>0</v>
      </c>
      <c r="M472" s="59">
        <f t="shared" si="117"/>
        <v>0</v>
      </c>
      <c r="N472" s="112"/>
      <c r="O472" s="57"/>
      <c r="P472" s="112"/>
    </row>
    <row r="473" spans="1:16" x14ac:dyDescent="0.2">
      <c r="A473" s="159">
        <v>4064666580005</v>
      </c>
      <c r="B473" s="10" t="s">
        <v>463</v>
      </c>
      <c r="C473" s="309" t="s">
        <v>475</v>
      </c>
      <c r="D473" s="158" t="s">
        <v>470</v>
      </c>
      <c r="E473" s="52">
        <v>475.71839080459773</v>
      </c>
      <c r="F473" s="80"/>
      <c r="G473" s="545"/>
      <c r="H473" s="417">
        <f t="shared" si="114"/>
        <v>0</v>
      </c>
      <c r="I473" s="50">
        <f t="shared" si="87"/>
        <v>0</v>
      </c>
      <c r="J473" s="57">
        <f t="shared" si="118"/>
        <v>0</v>
      </c>
      <c r="K473" s="58">
        <f t="shared" si="115"/>
        <v>0</v>
      </c>
      <c r="L473" s="57">
        <f t="shared" si="116"/>
        <v>0</v>
      </c>
      <c r="M473" s="59">
        <f t="shared" si="117"/>
        <v>0</v>
      </c>
      <c r="N473" s="112"/>
      <c r="O473" s="57"/>
      <c r="P473" s="112"/>
    </row>
    <row r="474" spans="1:16" x14ac:dyDescent="0.2">
      <c r="A474" s="159">
        <v>4064666599526</v>
      </c>
      <c r="B474" s="10" t="s">
        <v>463</v>
      </c>
      <c r="C474" s="309" t="s">
        <v>475</v>
      </c>
      <c r="D474" s="158" t="s">
        <v>471</v>
      </c>
      <c r="E474" s="52">
        <v>1110.9876674999998</v>
      </c>
      <c r="F474" s="80"/>
      <c r="G474" s="545"/>
      <c r="H474" s="417">
        <f t="shared" si="114"/>
        <v>0</v>
      </c>
      <c r="I474" s="50">
        <f t="shared" si="87"/>
        <v>0</v>
      </c>
      <c r="J474" s="57">
        <f t="shared" si="118"/>
        <v>0</v>
      </c>
      <c r="K474" s="58">
        <f t="shared" si="115"/>
        <v>0</v>
      </c>
      <c r="L474" s="57">
        <f t="shared" si="116"/>
        <v>0</v>
      </c>
      <c r="M474" s="59">
        <f t="shared" si="117"/>
        <v>0</v>
      </c>
      <c r="N474" s="112"/>
      <c r="O474" s="57"/>
      <c r="P474" s="112"/>
    </row>
    <row r="475" spans="1:16" x14ac:dyDescent="0.2">
      <c r="A475" s="159">
        <v>4064666599533</v>
      </c>
      <c r="B475" s="10" t="s">
        <v>463</v>
      </c>
      <c r="C475" s="309" t="s">
        <v>475</v>
      </c>
      <c r="D475" s="158" t="s">
        <v>472</v>
      </c>
      <c r="E475" s="52">
        <v>505.99137931034477</v>
      </c>
      <c r="F475" s="308"/>
      <c r="G475" s="564"/>
      <c r="H475" s="417">
        <f t="shared" si="114"/>
        <v>0</v>
      </c>
      <c r="I475" s="50">
        <f t="shared" ref="I475:I558" si="119">IF(C475="Faltante",0,E475*F475)</f>
        <v>0</v>
      </c>
      <c r="J475" s="57">
        <f t="shared" si="118"/>
        <v>0</v>
      </c>
      <c r="K475" s="58">
        <f t="shared" si="115"/>
        <v>0</v>
      </c>
      <c r="L475" s="57">
        <f t="shared" si="116"/>
        <v>0</v>
      </c>
      <c r="M475" s="59">
        <f t="shared" si="117"/>
        <v>0</v>
      </c>
      <c r="N475" s="112"/>
      <c r="O475" s="57"/>
      <c r="P475" s="112"/>
    </row>
    <row r="476" spans="1:16" x14ac:dyDescent="0.2">
      <c r="A476" s="159">
        <v>4064666946016</v>
      </c>
      <c r="B476" s="10" t="s">
        <v>463</v>
      </c>
      <c r="C476" s="309" t="s">
        <v>475</v>
      </c>
      <c r="D476" s="158" t="s">
        <v>473</v>
      </c>
      <c r="E476" s="52">
        <v>1615.95075</v>
      </c>
      <c r="F476" s="80"/>
      <c r="G476" s="545"/>
      <c r="H476" s="417">
        <f t="shared" si="114"/>
        <v>0</v>
      </c>
      <c r="I476" s="50">
        <f t="shared" si="119"/>
        <v>0</v>
      </c>
      <c r="J476" s="57">
        <f t="shared" si="118"/>
        <v>0</v>
      </c>
      <c r="K476" s="58">
        <f t="shared" si="115"/>
        <v>0</v>
      </c>
      <c r="L476" s="57">
        <f t="shared" si="116"/>
        <v>0</v>
      </c>
      <c r="M476" s="59">
        <f t="shared" si="117"/>
        <v>0</v>
      </c>
      <c r="N476" s="112"/>
      <c r="O476" s="57"/>
      <c r="P476" s="112"/>
    </row>
    <row r="477" spans="1:16" x14ac:dyDescent="0.2">
      <c r="A477" s="159">
        <v>4064666939728</v>
      </c>
      <c r="B477" s="10" t="s">
        <v>463</v>
      </c>
      <c r="C477" s="309" t="s">
        <v>475</v>
      </c>
      <c r="D477" s="158" t="s">
        <v>474</v>
      </c>
      <c r="E477" s="52">
        <v>494.25287356321843</v>
      </c>
      <c r="F477" s="80"/>
      <c r="G477" s="545"/>
      <c r="H477" s="417">
        <f t="shared" si="114"/>
        <v>0</v>
      </c>
      <c r="I477" s="50">
        <f t="shared" si="119"/>
        <v>0</v>
      </c>
      <c r="J477" s="57">
        <f t="shared" si="118"/>
        <v>0</v>
      </c>
      <c r="K477" s="58">
        <f t="shared" si="115"/>
        <v>0</v>
      </c>
      <c r="L477" s="57">
        <f t="shared" si="116"/>
        <v>0</v>
      </c>
      <c r="M477" s="59">
        <f t="shared" si="117"/>
        <v>0</v>
      </c>
      <c r="N477" s="112"/>
      <c r="O477" s="57"/>
      <c r="P477" s="112"/>
    </row>
    <row r="478" spans="1:16" x14ac:dyDescent="0.2">
      <c r="A478" s="159">
        <v>4064666583914</v>
      </c>
      <c r="B478" s="10" t="s">
        <v>463</v>
      </c>
      <c r="C478" s="309" t="s">
        <v>475</v>
      </c>
      <c r="D478" s="158" t="s">
        <v>617</v>
      </c>
      <c r="E478" s="52">
        <v>58.1</v>
      </c>
      <c r="F478" s="80"/>
      <c r="G478" s="545"/>
      <c r="H478" s="417">
        <f t="shared" ref="H478" si="120">(F478+G478)</f>
        <v>0</v>
      </c>
      <c r="I478" s="50">
        <f t="shared" ref="I478" si="121">IF(C478="Faltante",0,E478*F478)</f>
        <v>0</v>
      </c>
      <c r="J478" s="57">
        <f t="shared" ref="J478" si="122">I478*0.25</f>
        <v>0</v>
      </c>
      <c r="K478" s="58">
        <f t="shared" ref="K478" si="123">I478-J478</f>
        <v>0</v>
      </c>
      <c r="L478" s="57">
        <f t="shared" ref="L478" si="124">K478*$P$5</f>
        <v>0</v>
      </c>
      <c r="M478" s="59">
        <f t="shared" ref="M478" si="125">K478+L478</f>
        <v>0</v>
      </c>
      <c r="N478" s="112"/>
      <c r="O478" s="57"/>
      <c r="P478" s="112"/>
    </row>
    <row r="479" spans="1:16" x14ac:dyDescent="0.2">
      <c r="A479" s="159">
        <v>4064666599557</v>
      </c>
      <c r="B479" s="10" t="s">
        <v>463</v>
      </c>
      <c r="C479" s="309" t="s">
        <v>475</v>
      </c>
      <c r="D479" s="158" t="s">
        <v>618</v>
      </c>
      <c r="E479" s="52">
        <v>66.52</v>
      </c>
      <c r="F479" s="80"/>
      <c r="G479" s="545"/>
      <c r="H479" s="417">
        <f t="shared" ref="H479:H481" si="126">(F479+G479)</f>
        <v>0</v>
      </c>
      <c r="I479" s="50">
        <f t="shared" ref="I479:I481" si="127">IF(C479="Faltante",0,E479*F479)</f>
        <v>0</v>
      </c>
      <c r="J479" s="57">
        <f t="shared" ref="J479:J481" si="128">I479*0.25</f>
        <v>0</v>
      </c>
      <c r="K479" s="58">
        <f t="shared" ref="K479:K481" si="129">I479-J479</f>
        <v>0</v>
      </c>
      <c r="L479" s="57">
        <f t="shared" ref="L479:L481" si="130">K479*$P$5</f>
        <v>0</v>
      </c>
      <c r="M479" s="59">
        <f t="shared" ref="M479:M481" si="131">K479+L479</f>
        <v>0</v>
      </c>
      <c r="N479" s="112"/>
      <c r="O479" s="57"/>
      <c r="P479" s="112"/>
    </row>
    <row r="480" spans="1:16" x14ac:dyDescent="0.2">
      <c r="A480" s="159">
        <v>4064666580432</v>
      </c>
      <c r="B480" s="10" t="s">
        <v>463</v>
      </c>
      <c r="C480" s="309" t="s">
        <v>475</v>
      </c>
      <c r="D480" s="158" t="s">
        <v>619</v>
      </c>
      <c r="E480" s="52">
        <v>58.47</v>
      </c>
      <c r="F480" s="80"/>
      <c r="G480" s="545"/>
      <c r="H480" s="417">
        <f t="shared" si="126"/>
        <v>0</v>
      </c>
      <c r="I480" s="50">
        <f t="shared" si="127"/>
        <v>0</v>
      </c>
      <c r="J480" s="57">
        <f t="shared" si="128"/>
        <v>0</v>
      </c>
      <c r="K480" s="58">
        <f t="shared" si="129"/>
        <v>0</v>
      </c>
      <c r="L480" s="57">
        <f t="shared" si="130"/>
        <v>0</v>
      </c>
      <c r="M480" s="59">
        <f t="shared" si="131"/>
        <v>0</v>
      </c>
      <c r="N480" s="112"/>
      <c r="O480" s="57"/>
      <c r="P480" s="112"/>
    </row>
    <row r="481" spans="1:26" x14ac:dyDescent="0.2">
      <c r="A481" s="159">
        <v>4064666580005</v>
      </c>
      <c r="B481" s="10" t="s">
        <v>463</v>
      </c>
      <c r="C481" s="309" t="s">
        <v>475</v>
      </c>
      <c r="D481" s="158" t="s">
        <v>470</v>
      </c>
      <c r="E481" s="52">
        <v>475.72</v>
      </c>
      <c r="F481" s="80"/>
      <c r="G481" s="545"/>
      <c r="H481" s="417">
        <f t="shared" si="126"/>
        <v>0</v>
      </c>
      <c r="I481" s="50">
        <f t="shared" si="127"/>
        <v>0</v>
      </c>
      <c r="J481" s="57">
        <f t="shared" si="128"/>
        <v>0</v>
      </c>
      <c r="K481" s="58">
        <f t="shared" si="129"/>
        <v>0</v>
      </c>
      <c r="L481" s="57">
        <f t="shared" si="130"/>
        <v>0</v>
      </c>
      <c r="M481" s="59">
        <f t="shared" si="131"/>
        <v>0</v>
      </c>
      <c r="N481" s="112"/>
      <c r="O481" s="57"/>
      <c r="P481" s="112"/>
    </row>
    <row r="482" spans="1:26" x14ac:dyDescent="0.2">
      <c r="A482" s="479"/>
      <c r="B482" s="479"/>
      <c r="C482" s="309" t="e">
        <v>#N/A</v>
      </c>
      <c r="D482" s="480" t="s">
        <v>610</v>
      </c>
      <c r="E482" s="509"/>
      <c r="F482" s="481"/>
      <c r="G482" s="479"/>
      <c r="H482" s="479"/>
      <c r="I482" s="482"/>
      <c r="J482" s="482"/>
      <c r="K482" s="482"/>
      <c r="L482" s="482"/>
      <c r="M482" s="482"/>
      <c r="N482" s="483"/>
      <c r="O482" s="484"/>
      <c r="P482" s="484"/>
      <c r="Q482" s="484"/>
      <c r="R482" s="484"/>
      <c r="S482" s="484"/>
      <c r="T482" s="484"/>
      <c r="U482" s="484"/>
      <c r="V482" s="484"/>
      <c r="W482" s="484"/>
      <c r="X482" s="484"/>
      <c r="Y482" s="484"/>
      <c r="Z482" s="484"/>
    </row>
    <row r="483" spans="1:26" x14ac:dyDescent="0.2">
      <c r="A483" s="485">
        <v>99350193607</v>
      </c>
      <c r="B483" s="303" t="s">
        <v>610</v>
      </c>
      <c r="C483" s="309" t="s">
        <v>475</v>
      </c>
      <c r="D483" s="486" t="s">
        <v>598</v>
      </c>
      <c r="E483" s="510">
        <v>853.89937499999985</v>
      </c>
      <c r="F483" s="80"/>
      <c r="G483" s="545"/>
      <c r="H483" s="417">
        <f t="shared" ref="H483:H489" si="132">(F483+G483)</f>
        <v>0</v>
      </c>
      <c r="I483" s="50">
        <f t="shared" ref="I483:I488" si="133">IF(C483="Faltante",0,E483*F483)</f>
        <v>0</v>
      </c>
      <c r="J483" s="57">
        <f t="shared" ref="J483:J488" si="134">I483*0.25</f>
        <v>0</v>
      </c>
      <c r="K483" s="58">
        <f t="shared" ref="K483:K488" si="135">I483-J483</f>
        <v>0</v>
      </c>
      <c r="L483" s="57">
        <f t="shared" ref="L483:L488" si="136">K483*$P$5</f>
        <v>0</v>
      </c>
      <c r="M483" s="59">
        <f t="shared" ref="M483:M488" si="137">K483+L483</f>
        <v>0</v>
      </c>
      <c r="N483" s="483">
        <f t="shared" ref="N483:N490" si="138">+E483*G483</f>
        <v>0</v>
      </c>
      <c r="O483" s="484"/>
      <c r="P483" s="484"/>
      <c r="Q483" s="484"/>
      <c r="R483" s="484"/>
      <c r="S483" s="484"/>
      <c r="T483" s="484"/>
      <c r="U483" s="484"/>
      <c r="V483" s="484"/>
      <c r="W483" s="484"/>
      <c r="X483" s="484"/>
      <c r="Y483" s="484"/>
      <c r="Z483" s="484"/>
    </row>
    <row r="484" spans="1:26" x14ac:dyDescent="0.2">
      <c r="A484" s="485">
        <v>99350193593</v>
      </c>
      <c r="B484" s="303" t="s">
        <v>610</v>
      </c>
      <c r="C484" s="309" t="s">
        <v>475</v>
      </c>
      <c r="D484" s="486" t="s">
        <v>599</v>
      </c>
      <c r="E484" s="510">
        <v>370.07183908045982</v>
      </c>
      <c r="F484" s="80"/>
      <c r="G484" s="545"/>
      <c r="H484" s="417">
        <f t="shared" si="132"/>
        <v>0</v>
      </c>
      <c r="I484" s="50">
        <f t="shared" si="133"/>
        <v>0</v>
      </c>
      <c r="J484" s="57">
        <f t="shared" si="134"/>
        <v>0</v>
      </c>
      <c r="K484" s="58">
        <f t="shared" si="135"/>
        <v>0</v>
      </c>
      <c r="L484" s="57">
        <f t="shared" si="136"/>
        <v>0</v>
      </c>
      <c r="M484" s="59">
        <f t="shared" si="137"/>
        <v>0</v>
      </c>
      <c r="N484" s="483">
        <f t="shared" si="138"/>
        <v>0</v>
      </c>
      <c r="O484" s="484"/>
      <c r="P484" s="484"/>
      <c r="Q484" s="484"/>
      <c r="R484" s="484"/>
      <c r="S484" s="484"/>
      <c r="T484" s="484"/>
      <c r="U484" s="484"/>
      <c r="V484" s="484"/>
      <c r="W484" s="484"/>
      <c r="X484" s="484"/>
      <c r="Y484" s="484"/>
      <c r="Z484" s="484"/>
    </row>
    <row r="485" spans="1:26" x14ac:dyDescent="0.2">
      <c r="A485" s="485">
        <v>99350193636</v>
      </c>
      <c r="B485" s="303" t="s">
        <v>610</v>
      </c>
      <c r="C485" s="309" t="s">
        <v>475</v>
      </c>
      <c r="D485" s="486" t="s">
        <v>600</v>
      </c>
      <c r="E485" s="510">
        <v>1266.9363636363637</v>
      </c>
      <c r="F485" s="80"/>
      <c r="G485" s="545"/>
      <c r="H485" s="417">
        <f t="shared" si="132"/>
        <v>0</v>
      </c>
      <c r="I485" s="50">
        <f t="shared" si="133"/>
        <v>0</v>
      </c>
      <c r="J485" s="57">
        <f t="shared" si="134"/>
        <v>0</v>
      </c>
      <c r="K485" s="58">
        <f t="shared" si="135"/>
        <v>0</v>
      </c>
      <c r="L485" s="57">
        <f t="shared" si="136"/>
        <v>0</v>
      </c>
      <c r="M485" s="59">
        <f t="shared" si="137"/>
        <v>0</v>
      </c>
      <c r="N485" s="483">
        <f t="shared" si="138"/>
        <v>0</v>
      </c>
      <c r="O485" s="484"/>
      <c r="P485" s="484"/>
      <c r="Q485" s="484"/>
      <c r="R485" s="484"/>
      <c r="S485" s="484"/>
      <c r="T485" s="484"/>
      <c r="U485" s="484"/>
      <c r="V485" s="484"/>
      <c r="W485" s="484"/>
      <c r="X485" s="484"/>
      <c r="Y485" s="484"/>
      <c r="Z485" s="484"/>
    </row>
    <row r="486" spans="1:26" x14ac:dyDescent="0.2">
      <c r="A486" s="485">
        <v>99350193620</v>
      </c>
      <c r="B486" s="303" t="s">
        <v>610</v>
      </c>
      <c r="C486" s="309" t="s">
        <v>475</v>
      </c>
      <c r="D486" s="486" t="s">
        <v>601</v>
      </c>
      <c r="E486" s="510">
        <v>462.74425287356325</v>
      </c>
      <c r="F486" s="80"/>
      <c r="G486" s="545"/>
      <c r="H486" s="417">
        <f t="shared" si="132"/>
        <v>0</v>
      </c>
      <c r="I486" s="50">
        <f t="shared" si="133"/>
        <v>0</v>
      </c>
      <c r="J486" s="57">
        <f t="shared" si="134"/>
        <v>0</v>
      </c>
      <c r="K486" s="58">
        <f t="shared" si="135"/>
        <v>0</v>
      </c>
      <c r="L486" s="57">
        <f t="shared" si="136"/>
        <v>0</v>
      </c>
      <c r="M486" s="59">
        <f t="shared" si="137"/>
        <v>0</v>
      </c>
      <c r="N486" s="483">
        <f t="shared" si="138"/>
        <v>0</v>
      </c>
      <c r="O486" s="484"/>
      <c r="P486" s="484"/>
      <c r="Q486" s="484"/>
      <c r="R486" s="484"/>
      <c r="S486" s="484"/>
      <c r="T486" s="484"/>
      <c r="U486" s="484"/>
      <c r="V486" s="484"/>
      <c r="W486" s="484"/>
      <c r="X486" s="484"/>
      <c r="Y486" s="484"/>
      <c r="Z486" s="484"/>
    </row>
    <row r="487" spans="1:26" x14ac:dyDescent="0.2">
      <c r="A487" s="485">
        <v>99350193641</v>
      </c>
      <c r="B487" s="303" t="s">
        <v>610</v>
      </c>
      <c r="C487" s="309" t="s">
        <v>475</v>
      </c>
      <c r="D487" s="486" t="s">
        <v>602</v>
      </c>
      <c r="E487" s="510">
        <v>510</v>
      </c>
      <c r="F487" s="80"/>
      <c r="G487" s="545"/>
      <c r="H487" s="417">
        <f t="shared" si="132"/>
        <v>0</v>
      </c>
      <c r="I487" s="50">
        <f t="shared" si="133"/>
        <v>0</v>
      </c>
      <c r="J487" s="57">
        <f t="shared" si="134"/>
        <v>0</v>
      </c>
      <c r="K487" s="58">
        <f t="shared" si="135"/>
        <v>0</v>
      </c>
      <c r="L487" s="57">
        <f t="shared" si="136"/>
        <v>0</v>
      </c>
      <c r="M487" s="59">
        <f t="shared" si="137"/>
        <v>0</v>
      </c>
      <c r="N487" s="483">
        <f t="shared" si="138"/>
        <v>0</v>
      </c>
      <c r="O487" s="484"/>
      <c r="P487" s="484"/>
      <c r="Q487" s="484"/>
      <c r="R487" s="484"/>
      <c r="S487" s="484"/>
      <c r="T487" s="484"/>
      <c r="U487" s="484"/>
      <c r="V487" s="484"/>
      <c r="W487" s="484"/>
      <c r="X487" s="484"/>
      <c r="Y487" s="484"/>
      <c r="Z487" s="484"/>
    </row>
    <row r="488" spans="1:26" x14ac:dyDescent="0.2">
      <c r="A488" s="485">
        <v>99350193639</v>
      </c>
      <c r="B488" s="303" t="s">
        <v>610</v>
      </c>
      <c r="C488" s="309" t="s">
        <v>475</v>
      </c>
      <c r="D488" s="486" t="s">
        <v>603</v>
      </c>
      <c r="E488" s="510">
        <v>191.24787499999999</v>
      </c>
      <c r="F488" s="80"/>
      <c r="G488" s="545"/>
      <c r="H488" s="417">
        <f t="shared" si="132"/>
        <v>0</v>
      </c>
      <c r="I488" s="50">
        <f t="shared" si="133"/>
        <v>0</v>
      </c>
      <c r="J488" s="57">
        <f t="shared" si="134"/>
        <v>0</v>
      </c>
      <c r="K488" s="58">
        <f t="shared" si="135"/>
        <v>0</v>
      </c>
      <c r="L488" s="57">
        <f t="shared" si="136"/>
        <v>0</v>
      </c>
      <c r="M488" s="59">
        <f t="shared" si="137"/>
        <v>0</v>
      </c>
      <c r="N488" s="483">
        <f t="shared" si="138"/>
        <v>0</v>
      </c>
      <c r="O488" s="484"/>
      <c r="P488" s="484"/>
      <c r="Q488" s="484"/>
      <c r="R488" s="484"/>
      <c r="S488" s="484"/>
      <c r="T488" s="484"/>
      <c r="U488" s="484"/>
      <c r="V488" s="484"/>
      <c r="W488" s="484"/>
      <c r="X488" s="484"/>
      <c r="Y488" s="484"/>
      <c r="Z488" s="484"/>
    </row>
    <row r="489" spans="1:26" hidden="1" x14ac:dyDescent="0.2">
      <c r="A489" s="485">
        <v>99350193643</v>
      </c>
      <c r="B489" s="303" t="s">
        <v>610</v>
      </c>
      <c r="C489" s="309" t="s">
        <v>535</v>
      </c>
      <c r="D489" s="486" t="s">
        <v>604</v>
      </c>
      <c r="E489" s="510">
        <v>1093.53448275862</v>
      </c>
      <c r="F489" s="80"/>
      <c r="G489" s="545"/>
      <c r="H489" s="417">
        <f t="shared" si="132"/>
        <v>0</v>
      </c>
      <c r="I489" s="487">
        <f t="shared" ref="I489:I492" si="139">IF(C489="Faltante",0,E489*F489)</f>
        <v>0</v>
      </c>
      <c r="J489" s="57"/>
      <c r="K489" s="442">
        <f t="shared" ref="K489:K492" si="140">I489-J489</f>
        <v>0</v>
      </c>
      <c r="L489" s="488">
        <f t="shared" ref="L489" si="141">K489*$P$6</f>
        <v>0</v>
      </c>
      <c r="M489" s="442">
        <f t="shared" ref="M489:M492" si="142">K489+L489</f>
        <v>0</v>
      </c>
      <c r="N489" s="483">
        <f t="shared" si="138"/>
        <v>0</v>
      </c>
      <c r="O489" s="484"/>
      <c r="P489" s="484"/>
      <c r="Q489" s="484"/>
      <c r="R489" s="484"/>
      <c r="S489" s="484"/>
      <c r="T489" s="484"/>
      <c r="U489" s="484"/>
      <c r="V489" s="484"/>
      <c r="W489" s="484"/>
      <c r="X489" s="484"/>
      <c r="Y489" s="484"/>
      <c r="Z489" s="484"/>
    </row>
    <row r="490" spans="1:26" x14ac:dyDescent="0.2">
      <c r="A490" s="485">
        <v>99350193662</v>
      </c>
      <c r="B490" s="303" t="s">
        <v>610</v>
      </c>
      <c r="C490" s="309" t="s">
        <v>475</v>
      </c>
      <c r="D490" s="486" t="s">
        <v>605</v>
      </c>
      <c r="E490" s="510">
        <v>1649.6068500000001</v>
      </c>
      <c r="F490" s="80"/>
      <c r="G490" s="545"/>
      <c r="H490" s="417">
        <f t="shared" ref="H490:H492" si="143">(F490+G490)</f>
        <v>0</v>
      </c>
      <c r="I490" s="50">
        <f t="shared" si="139"/>
        <v>0</v>
      </c>
      <c r="J490" s="57">
        <f t="shared" ref="J490:J492" si="144">I490*0.25</f>
        <v>0</v>
      </c>
      <c r="K490" s="58">
        <f t="shared" si="140"/>
        <v>0</v>
      </c>
      <c r="L490" s="57">
        <f t="shared" ref="L490:L492" si="145">K490*$P$5</f>
        <v>0</v>
      </c>
      <c r="M490" s="59">
        <f t="shared" si="142"/>
        <v>0</v>
      </c>
      <c r="N490" s="483">
        <f t="shared" si="138"/>
        <v>0</v>
      </c>
      <c r="O490" s="484"/>
      <c r="P490" s="484"/>
      <c r="Q490" s="484"/>
      <c r="R490" s="484"/>
      <c r="S490" s="484"/>
      <c r="T490" s="484"/>
      <c r="U490" s="484"/>
      <c r="V490" s="484"/>
      <c r="W490" s="484"/>
      <c r="X490" s="484"/>
      <c r="Y490" s="484"/>
      <c r="Z490" s="484"/>
    </row>
    <row r="491" spans="1:26" x14ac:dyDescent="0.2">
      <c r="A491" s="485">
        <v>99350193656</v>
      </c>
      <c r="B491" s="303" t="s">
        <v>610</v>
      </c>
      <c r="C491" s="309" t="s">
        <v>475</v>
      </c>
      <c r="D491" s="486" t="s">
        <v>611</v>
      </c>
      <c r="E491" s="510">
        <v>68.289374999999993</v>
      </c>
      <c r="F491" s="80"/>
      <c r="G491" s="545"/>
      <c r="H491" s="417">
        <f t="shared" si="143"/>
        <v>0</v>
      </c>
      <c r="I491" s="50">
        <f t="shared" si="139"/>
        <v>0</v>
      </c>
      <c r="J491" s="57">
        <f t="shared" si="144"/>
        <v>0</v>
      </c>
      <c r="K491" s="58">
        <f t="shared" si="140"/>
        <v>0</v>
      </c>
      <c r="L491" s="57">
        <f t="shared" si="145"/>
        <v>0</v>
      </c>
      <c r="M491" s="59">
        <f t="shared" si="142"/>
        <v>0</v>
      </c>
      <c r="N491" s="483"/>
      <c r="O491" s="484"/>
      <c r="P491" s="484"/>
      <c r="Q491" s="484"/>
      <c r="R491" s="484"/>
      <c r="S491" s="484"/>
      <c r="T491" s="484"/>
      <c r="U491" s="484"/>
      <c r="V491" s="484"/>
      <c r="W491" s="484"/>
      <c r="X491" s="484"/>
      <c r="Y491" s="484"/>
      <c r="Z491" s="484"/>
    </row>
    <row r="492" spans="1:26" ht="15.75" thickBot="1" x14ac:dyDescent="0.25">
      <c r="A492" s="485">
        <v>99350193618</v>
      </c>
      <c r="B492" s="303" t="s">
        <v>610</v>
      </c>
      <c r="C492" s="309" t="s">
        <v>475</v>
      </c>
      <c r="D492" s="486" t="s">
        <v>607</v>
      </c>
      <c r="E492" s="510">
        <v>62.404999999999994</v>
      </c>
      <c r="F492" s="80"/>
      <c r="G492" s="545"/>
      <c r="H492" s="417">
        <f t="shared" si="143"/>
        <v>0</v>
      </c>
      <c r="I492" s="50">
        <f t="shared" si="139"/>
        <v>0</v>
      </c>
      <c r="J492" s="57">
        <f t="shared" si="144"/>
        <v>0</v>
      </c>
      <c r="K492" s="58">
        <f t="shared" si="140"/>
        <v>0</v>
      </c>
      <c r="L492" s="57">
        <f t="shared" si="145"/>
        <v>0</v>
      </c>
      <c r="M492" s="59">
        <f t="shared" si="142"/>
        <v>0</v>
      </c>
      <c r="N492" s="483"/>
      <c r="O492" s="484"/>
      <c r="P492" s="484"/>
      <c r="Q492" s="484"/>
      <c r="R492" s="484"/>
      <c r="S492" s="484"/>
      <c r="T492" s="484"/>
      <c r="U492" s="484"/>
      <c r="V492" s="484"/>
      <c r="W492" s="484"/>
      <c r="X492" s="484"/>
      <c r="Y492" s="484"/>
      <c r="Z492" s="484"/>
    </row>
    <row r="493" spans="1:26" ht="15.75" thickBot="1" x14ac:dyDescent="0.25">
      <c r="A493" s="196"/>
      <c r="B493" s="197"/>
      <c r="C493" s="309" t="e">
        <v>#N/A</v>
      </c>
      <c r="D493" s="198" t="s">
        <v>327</v>
      </c>
      <c r="E493" s="511"/>
      <c r="F493" s="382"/>
      <c r="G493" s="565"/>
      <c r="H493" s="199"/>
      <c r="I493" s="199"/>
      <c r="J493" s="199"/>
      <c r="K493" s="199"/>
      <c r="L493" s="199"/>
      <c r="M493" s="200"/>
      <c r="N493" s="112"/>
      <c r="O493" s="57"/>
      <c r="P493" s="112"/>
    </row>
    <row r="494" spans="1:26" x14ac:dyDescent="0.2">
      <c r="A494" s="153">
        <v>8005610640440</v>
      </c>
      <c r="B494" s="10" t="s">
        <v>45</v>
      </c>
      <c r="C494" s="309" t="s">
        <v>475</v>
      </c>
      <c r="D494" s="175" t="s">
        <v>328</v>
      </c>
      <c r="E494" s="52">
        <v>368.72499999999997</v>
      </c>
      <c r="F494" s="370"/>
      <c r="G494" s="543"/>
      <c r="H494" s="417">
        <f t="shared" ref="H494:H510" si="146">(F494+G494)</f>
        <v>0</v>
      </c>
      <c r="I494" s="50">
        <f t="shared" si="119"/>
        <v>0</v>
      </c>
      <c r="J494" s="57">
        <f t="shared" ref="J494:J510" si="147">I494*$M$20</f>
        <v>0</v>
      </c>
      <c r="K494" s="58">
        <f t="shared" ref="K494:K510" si="148">I494-J494</f>
        <v>0</v>
      </c>
      <c r="L494" s="57">
        <f t="shared" ref="L494:L510" si="149">K494*$P$5</f>
        <v>0</v>
      </c>
      <c r="M494" s="59">
        <f t="shared" ref="M494:M510" si="150">K494+L494</f>
        <v>0</v>
      </c>
      <c r="N494" s="112"/>
      <c r="O494" s="57"/>
      <c r="P494" s="112"/>
    </row>
    <row r="495" spans="1:26" x14ac:dyDescent="0.2">
      <c r="A495" s="153">
        <v>8005610640327</v>
      </c>
      <c r="B495" s="10" t="s">
        <v>45</v>
      </c>
      <c r="C495" s="309" t="s">
        <v>475</v>
      </c>
      <c r="D495" s="175" t="s">
        <v>329</v>
      </c>
      <c r="E495" s="52">
        <v>368.72499999999997</v>
      </c>
      <c r="F495" s="379"/>
      <c r="G495" s="543"/>
      <c r="H495" s="417">
        <f t="shared" si="146"/>
        <v>0</v>
      </c>
      <c r="I495" s="50">
        <f t="shared" si="119"/>
        <v>0</v>
      </c>
      <c r="J495" s="57">
        <f t="shared" si="147"/>
        <v>0</v>
      </c>
      <c r="K495" s="58">
        <f t="shared" si="148"/>
        <v>0</v>
      </c>
      <c r="L495" s="57">
        <f t="shared" si="149"/>
        <v>0</v>
      </c>
      <c r="M495" s="59">
        <f t="shared" si="150"/>
        <v>0</v>
      </c>
      <c r="N495" s="112"/>
      <c r="O495" s="57"/>
      <c r="P495" s="112"/>
    </row>
    <row r="496" spans="1:26" ht="15.75" thickBot="1" x14ac:dyDescent="0.25">
      <c r="A496" s="153">
        <v>4084500583832</v>
      </c>
      <c r="B496" s="10" t="s">
        <v>45</v>
      </c>
      <c r="C496" s="309" t="s">
        <v>475</v>
      </c>
      <c r="D496" s="175" t="s">
        <v>330</v>
      </c>
      <c r="E496" s="52">
        <v>282.9615</v>
      </c>
      <c r="F496" s="368"/>
      <c r="G496" s="543"/>
      <c r="H496" s="417">
        <f t="shared" si="146"/>
        <v>0</v>
      </c>
      <c r="I496" s="50">
        <f t="shared" si="119"/>
        <v>0</v>
      </c>
      <c r="J496" s="57">
        <f t="shared" si="147"/>
        <v>0</v>
      </c>
      <c r="K496" s="58">
        <f t="shared" si="148"/>
        <v>0</v>
      </c>
      <c r="L496" s="57">
        <f t="shared" si="149"/>
        <v>0</v>
      </c>
      <c r="M496" s="59">
        <f t="shared" si="150"/>
        <v>0</v>
      </c>
      <c r="N496" s="112"/>
      <c r="O496" s="57"/>
      <c r="P496" s="112"/>
    </row>
    <row r="497" spans="1:16" ht="15.75" thickBot="1" x14ac:dyDescent="0.25">
      <c r="A497" s="201"/>
      <c r="B497" s="202"/>
      <c r="C497" s="309" t="e">
        <v>#N/A</v>
      </c>
      <c r="D497" s="203" t="s">
        <v>331</v>
      </c>
      <c r="E497" s="512"/>
      <c r="F497" s="383"/>
      <c r="G497" s="566"/>
      <c r="H497" s="435"/>
      <c r="I497" s="204"/>
      <c r="J497" s="204"/>
      <c r="K497" s="204"/>
      <c r="L497" s="204"/>
      <c r="M497" s="205"/>
      <c r="N497" s="112"/>
      <c r="O497" s="57"/>
      <c r="P497" s="112"/>
    </row>
    <row r="498" spans="1:16" ht="15.75" thickBot="1" x14ac:dyDescent="0.25">
      <c r="A498" s="159">
        <v>4084500584297</v>
      </c>
      <c r="B498" s="10" t="s">
        <v>45</v>
      </c>
      <c r="C498" s="309" t="s">
        <v>475</v>
      </c>
      <c r="D498" s="158" t="s">
        <v>332</v>
      </c>
      <c r="E498" s="52">
        <v>282.9615</v>
      </c>
      <c r="F498" s="370"/>
      <c r="G498" s="567"/>
      <c r="H498" s="417">
        <f t="shared" si="146"/>
        <v>0</v>
      </c>
      <c r="I498" s="50">
        <f t="shared" si="119"/>
        <v>0</v>
      </c>
      <c r="J498" s="57">
        <f t="shared" si="147"/>
        <v>0</v>
      </c>
      <c r="K498" s="58">
        <f t="shared" si="148"/>
        <v>0</v>
      </c>
      <c r="L498" s="57">
        <f t="shared" si="149"/>
        <v>0</v>
      </c>
      <c r="M498" s="59">
        <f t="shared" si="150"/>
        <v>0</v>
      </c>
      <c r="N498" s="112"/>
      <c r="O498" s="57"/>
      <c r="P498" s="112"/>
    </row>
    <row r="499" spans="1:16" ht="15.75" thickBot="1" x14ac:dyDescent="0.25">
      <c r="A499" s="206"/>
      <c r="B499" s="207"/>
      <c r="C499" s="309" t="e">
        <v>#N/A</v>
      </c>
      <c r="D499" s="208" t="s">
        <v>333</v>
      </c>
      <c r="E499" s="513"/>
      <c r="F499" s="384"/>
      <c r="G499" s="568"/>
      <c r="H499" s="436"/>
      <c r="I499" s="209"/>
      <c r="J499" s="209"/>
      <c r="K499" s="209"/>
      <c r="L499" s="209"/>
      <c r="M499" s="210"/>
      <c r="N499" s="112"/>
      <c r="O499" s="57"/>
      <c r="P499" s="112"/>
    </row>
    <row r="500" spans="1:16" x14ac:dyDescent="0.2">
      <c r="A500" s="159">
        <v>4084500585331</v>
      </c>
      <c r="B500" s="10" t="s">
        <v>45</v>
      </c>
      <c r="C500" s="309" t="s">
        <v>475</v>
      </c>
      <c r="D500" s="158" t="s">
        <v>334</v>
      </c>
      <c r="E500" s="52">
        <v>282.9615</v>
      </c>
      <c r="F500" s="370"/>
      <c r="G500" s="543"/>
      <c r="H500" s="417">
        <f>(F500+G500)</f>
        <v>0</v>
      </c>
      <c r="I500" s="50">
        <f t="shared" si="119"/>
        <v>0</v>
      </c>
      <c r="J500" s="57">
        <f t="shared" si="147"/>
        <v>0</v>
      </c>
      <c r="K500" s="58">
        <f t="shared" si="148"/>
        <v>0</v>
      </c>
      <c r="L500" s="57">
        <f t="shared" si="149"/>
        <v>0</v>
      </c>
      <c r="M500" s="59">
        <f t="shared" si="150"/>
        <v>0</v>
      </c>
      <c r="N500" s="112"/>
      <c r="O500" s="57"/>
      <c r="P500" s="112"/>
    </row>
    <row r="501" spans="1:16" ht="15.75" thickBot="1" x14ac:dyDescent="0.25">
      <c r="A501" s="159">
        <v>4084500585959</v>
      </c>
      <c r="B501" s="10" t="s">
        <v>45</v>
      </c>
      <c r="C501" s="309" t="s">
        <v>475</v>
      </c>
      <c r="D501" s="158" t="s">
        <v>335</v>
      </c>
      <c r="E501" s="52">
        <v>282.9615</v>
      </c>
      <c r="F501" s="56"/>
      <c r="G501" s="543"/>
      <c r="H501" s="417">
        <f t="shared" si="146"/>
        <v>0</v>
      </c>
      <c r="I501" s="50">
        <f t="shared" si="119"/>
        <v>0</v>
      </c>
      <c r="J501" s="57">
        <f t="shared" si="147"/>
        <v>0</v>
      </c>
      <c r="K501" s="58">
        <f t="shared" si="148"/>
        <v>0</v>
      </c>
      <c r="L501" s="57">
        <f t="shared" si="149"/>
        <v>0</v>
      </c>
      <c r="M501" s="59">
        <f t="shared" si="150"/>
        <v>0</v>
      </c>
      <c r="N501" s="112"/>
      <c r="O501" s="57"/>
      <c r="P501" s="112"/>
    </row>
    <row r="502" spans="1:16" ht="15.75" thickBot="1" x14ac:dyDescent="0.25">
      <c r="A502" s="211"/>
      <c r="B502" s="212"/>
      <c r="C502" s="309" t="e">
        <v>#N/A</v>
      </c>
      <c r="D502" s="213" t="s">
        <v>336</v>
      </c>
      <c r="E502" s="514"/>
      <c r="F502" s="385"/>
      <c r="G502" s="569"/>
      <c r="H502" s="437"/>
      <c r="I502" s="214"/>
      <c r="J502" s="214"/>
      <c r="K502" s="214"/>
      <c r="L502" s="214"/>
      <c r="M502" s="215"/>
      <c r="N502" s="112"/>
      <c r="O502" s="57"/>
      <c r="P502" s="112"/>
    </row>
    <row r="503" spans="1:16" x14ac:dyDescent="0.2">
      <c r="A503" s="159">
        <v>4084500586253</v>
      </c>
      <c r="B503" s="10" t="s">
        <v>45</v>
      </c>
      <c r="C503" s="309" t="s">
        <v>475</v>
      </c>
      <c r="D503" s="158" t="s">
        <v>337</v>
      </c>
      <c r="E503" s="52">
        <v>314.97499999999997</v>
      </c>
      <c r="F503" s="56"/>
      <c r="G503" s="543"/>
      <c r="H503" s="417">
        <f t="shared" si="146"/>
        <v>0</v>
      </c>
      <c r="I503" s="50">
        <f t="shared" si="119"/>
        <v>0</v>
      </c>
      <c r="J503" s="57">
        <f t="shared" si="147"/>
        <v>0</v>
      </c>
      <c r="K503" s="58">
        <f t="shared" si="148"/>
        <v>0</v>
      </c>
      <c r="L503" s="57">
        <f t="shared" si="149"/>
        <v>0</v>
      </c>
      <c r="M503" s="59">
        <f t="shared" si="150"/>
        <v>0</v>
      </c>
      <c r="N503" s="112"/>
      <c r="O503" s="57"/>
      <c r="P503" s="112"/>
    </row>
    <row r="504" spans="1:16" x14ac:dyDescent="0.2">
      <c r="A504" s="159">
        <v>4084500586499</v>
      </c>
      <c r="B504" s="10" t="s">
        <v>45</v>
      </c>
      <c r="C504" s="309" t="s">
        <v>475</v>
      </c>
      <c r="D504" s="158" t="s">
        <v>338</v>
      </c>
      <c r="E504" s="52">
        <v>314.97499999999997</v>
      </c>
      <c r="F504" s="56"/>
      <c r="G504" s="550"/>
      <c r="H504" s="417">
        <f t="shared" si="146"/>
        <v>0</v>
      </c>
      <c r="I504" s="50">
        <f t="shared" si="119"/>
        <v>0</v>
      </c>
      <c r="J504" s="57">
        <f t="shared" si="147"/>
        <v>0</v>
      </c>
      <c r="K504" s="216">
        <f t="shared" si="148"/>
        <v>0</v>
      </c>
      <c r="L504" s="217">
        <f t="shared" si="149"/>
        <v>0</v>
      </c>
      <c r="M504" s="218">
        <f t="shared" si="150"/>
        <v>0</v>
      </c>
      <c r="N504" s="112"/>
      <c r="O504" s="57"/>
      <c r="P504" s="112"/>
    </row>
    <row r="505" spans="1:16" ht="15.75" thickBot="1" x14ac:dyDescent="0.25">
      <c r="A505" s="159">
        <v>4084500586130</v>
      </c>
      <c r="B505" s="10" t="s">
        <v>45</v>
      </c>
      <c r="C505" s="309" t="s">
        <v>475</v>
      </c>
      <c r="D505" s="158" t="s">
        <v>339</v>
      </c>
      <c r="E505" s="52">
        <v>314.97499999999997</v>
      </c>
      <c r="F505" s="56"/>
      <c r="G505" s="543"/>
      <c r="H505" s="417">
        <f t="shared" si="146"/>
        <v>0</v>
      </c>
      <c r="I505" s="50">
        <f t="shared" si="119"/>
        <v>0</v>
      </c>
      <c r="J505" s="57">
        <f t="shared" si="147"/>
        <v>0</v>
      </c>
      <c r="K505" s="58">
        <f t="shared" si="148"/>
        <v>0</v>
      </c>
      <c r="L505" s="57">
        <f t="shared" si="149"/>
        <v>0</v>
      </c>
      <c r="M505" s="59">
        <f t="shared" si="150"/>
        <v>0</v>
      </c>
      <c r="N505" s="112"/>
      <c r="O505" s="57"/>
      <c r="P505" s="112"/>
    </row>
    <row r="506" spans="1:16" ht="15.75" thickBot="1" x14ac:dyDescent="0.25">
      <c r="A506" s="219"/>
      <c r="B506" s="220"/>
      <c r="C506" s="309" t="e">
        <v>#N/A</v>
      </c>
      <c r="D506" s="221" t="s">
        <v>340</v>
      </c>
      <c r="E506" s="515"/>
      <c r="F506" s="386"/>
      <c r="G506" s="570"/>
      <c r="H506" s="438"/>
      <c r="I506" s="222"/>
      <c r="J506" s="222"/>
      <c r="K506" s="222"/>
      <c r="L506" s="222"/>
      <c r="M506" s="223"/>
      <c r="N506" s="112"/>
      <c r="O506" s="57"/>
      <c r="P506" s="112"/>
    </row>
    <row r="507" spans="1:16" x14ac:dyDescent="0.2">
      <c r="A507" s="159">
        <v>4084500641686</v>
      </c>
      <c r="B507" s="10" t="s">
        <v>45</v>
      </c>
      <c r="C507" s="309" t="s">
        <v>475</v>
      </c>
      <c r="D507" s="158" t="s">
        <v>341</v>
      </c>
      <c r="E507" s="52">
        <v>248.45400000000001</v>
      </c>
      <c r="F507" s="370"/>
      <c r="G507" s="543"/>
      <c r="H507" s="417">
        <f t="shared" si="146"/>
        <v>0</v>
      </c>
      <c r="I507" s="50">
        <f t="shared" si="119"/>
        <v>0</v>
      </c>
      <c r="J507" s="57">
        <f t="shared" si="147"/>
        <v>0</v>
      </c>
      <c r="K507" s="58">
        <f t="shared" si="148"/>
        <v>0</v>
      </c>
      <c r="L507" s="57">
        <f t="shared" si="149"/>
        <v>0</v>
      </c>
      <c r="M507" s="59">
        <f t="shared" si="150"/>
        <v>0</v>
      </c>
      <c r="N507" s="112"/>
      <c r="O507" s="57"/>
      <c r="P507" s="112"/>
    </row>
    <row r="508" spans="1:16" x14ac:dyDescent="0.2">
      <c r="A508" s="159">
        <v>4084500584426</v>
      </c>
      <c r="B508" s="10" t="s">
        <v>45</v>
      </c>
      <c r="C508" s="309" t="s">
        <v>475</v>
      </c>
      <c r="D508" s="158" t="s">
        <v>342</v>
      </c>
      <c r="E508" s="52">
        <v>300.21525000000003</v>
      </c>
      <c r="F508" s="56"/>
      <c r="G508" s="543"/>
      <c r="H508" s="417">
        <f t="shared" si="146"/>
        <v>0</v>
      </c>
      <c r="I508" s="50">
        <f t="shared" si="119"/>
        <v>0</v>
      </c>
      <c r="J508" s="57">
        <f t="shared" si="147"/>
        <v>0</v>
      </c>
      <c r="K508" s="58">
        <f t="shared" si="148"/>
        <v>0</v>
      </c>
      <c r="L508" s="57">
        <f t="shared" si="149"/>
        <v>0</v>
      </c>
      <c r="M508" s="59">
        <f t="shared" si="150"/>
        <v>0</v>
      </c>
      <c r="N508" s="112"/>
      <c r="O508" s="57"/>
      <c r="P508" s="112"/>
    </row>
    <row r="509" spans="1:16" x14ac:dyDescent="0.2">
      <c r="A509" s="159">
        <v>4084500584761</v>
      </c>
      <c r="B509" s="10" t="s">
        <v>45</v>
      </c>
      <c r="C509" s="309" t="s">
        <v>475</v>
      </c>
      <c r="D509" s="158" t="s">
        <v>343</v>
      </c>
      <c r="E509" s="52">
        <v>300.21525000000003</v>
      </c>
      <c r="F509" s="56"/>
      <c r="G509" s="543"/>
      <c r="H509" s="417">
        <f t="shared" si="146"/>
        <v>0</v>
      </c>
      <c r="I509" s="50">
        <f t="shared" si="119"/>
        <v>0</v>
      </c>
      <c r="J509" s="57">
        <f t="shared" si="147"/>
        <v>0</v>
      </c>
      <c r="K509" s="58">
        <f t="shared" si="148"/>
        <v>0</v>
      </c>
      <c r="L509" s="57">
        <f t="shared" si="149"/>
        <v>0</v>
      </c>
      <c r="M509" s="59">
        <f t="shared" si="150"/>
        <v>0</v>
      </c>
      <c r="N509" s="112"/>
      <c r="O509" s="57"/>
      <c r="P509" s="112"/>
    </row>
    <row r="510" spans="1:16" ht="15.75" thickBot="1" x14ac:dyDescent="0.25">
      <c r="A510" s="159">
        <v>4084500622937</v>
      </c>
      <c r="B510" s="10" t="s">
        <v>45</v>
      </c>
      <c r="C510" s="309" t="s">
        <v>475</v>
      </c>
      <c r="D510" s="158" t="s">
        <v>344</v>
      </c>
      <c r="E510" s="52">
        <v>263.22000000000003</v>
      </c>
      <c r="F510" s="56"/>
      <c r="G510" s="543"/>
      <c r="H510" s="417">
        <f t="shared" si="146"/>
        <v>0</v>
      </c>
      <c r="I510" s="50">
        <f t="shared" si="119"/>
        <v>0</v>
      </c>
      <c r="J510" s="57">
        <f t="shared" si="147"/>
        <v>0</v>
      </c>
      <c r="K510" s="58">
        <f t="shared" si="148"/>
        <v>0</v>
      </c>
      <c r="L510" s="57">
        <f t="shared" si="149"/>
        <v>0</v>
      </c>
      <c r="M510" s="59">
        <f t="shared" si="150"/>
        <v>0</v>
      </c>
      <c r="N510" s="112"/>
      <c r="O510" s="57"/>
      <c r="P510" s="112"/>
    </row>
    <row r="511" spans="1:16" ht="15.75" thickBot="1" x14ac:dyDescent="0.25">
      <c r="A511" s="224"/>
      <c r="B511" s="225"/>
      <c r="C511" s="309" t="e">
        <v>#N/A</v>
      </c>
      <c r="D511" s="226" t="s">
        <v>345</v>
      </c>
      <c r="E511" s="516"/>
      <c r="F511" s="227"/>
      <c r="G511" s="571"/>
      <c r="H511" s="439"/>
      <c r="I511" s="228"/>
      <c r="J511" s="228"/>
      <c r="K511" s="228"/>
      <c r="L511" s="228"/>
      <c r="M511" s="229"/>
      <c r="N511" s="112"/>
      <c r="O511" s="57"/>
      <c r="P511" s="112"/>
    </row>
    <row r="512" spans="1:16" x14ac:dyDescent="0.2">
      <c r="A512" s="230">
        <v>4015600260361</v>
      </c>
      <c r="B512" s="10" t="s">
        <v>46</v>
      </c>
      <c r="C512" s="309" t="s">
        <v>475</v>
      </c>
      <c r="D512" s="231" t="s">
        <v>346</v>
      </c>
      <c r="E512" s="52">
        <v>478.17</v>
      </c>
      <c r="F512" s="49"/>
      <c r="G512" s="542"/>
      <c r="H512" s="417">
        <f>(F512+G512)</f>
        <v>0</v>
      </c>
      <c r="I512" s="50">
        <f t="shared" si="119"/>
        <v>0</v>
      </c>
      <c r="J512" s="57">
        <f>I512*$M$27</f>
        <v>0</v>
      </c>
      <c r="K512" s="52">
        <f t="shared" ref="K512:K552" si="151">I512-J512</f>
        <v>0</v>
      </c>
      <c r="L512" s="51">
        <f>K512*$P$5</f>
        <v>0</v>
      </c>
      <c r="M512" s="53">
        <f t="shared" ref="M512:M552" si="152">K512+L512</f>
        <v>0</v>
      </c>
      <c r="N512" s="112"/>
      <c r="O512" s="57"/>
      <c r="P512" s="112"/>
    </row>
    <row r="513" spans="1:16" x14ac:dyDescent="0.2">
      <c r="A513" s="232">
        <v>4015600611668</v>
      </c>
      <c r="B513" s="10" t="s">
        <v>46</v>
      </c>
      <c r="C513" s="309" t="s">
        <v>475</v>
      </c>
      <c r="D513" s="233" t="s">
        <v>347</v>
      </c>
      <c r="E513" s="52">
        <v>271.95</v>
      </c>
      <c r="F513" s="56"/>
      <c r="G513" s="542"/>
      <c r="H513" s="417">
        <f>(F513+G513)</f>
        <v>0</v>
      </c>
      <c r="I513" s="50">
        <f t="shared" si="119"/>
        <v>0</v>
      </c>
      <c r="J513" s="57">
        <f>I513*$M$27</f>
        <v>0</v>
      </c>
      <c r="K513" s="58">
        <f t="shared" si="151"/>
        <v>0</v>
      </c>
      <c r="L513" s="57">
        <f>K513*$P$5</f>
        <v>0</v>
      </c>
      <c r="M513" s="59">
        <f t="shared" si="152"/>
        <v>0</v>
      </c>
      <c r="N513" s="112"/>
      <c r="O513" s="57"/>
      <c r="P513" s="112"/>
    </row>
    <row r="514" spans="1:16" ht="15.75" thickBot="1" x14ac:dyDescent="0.25">
      <c r="A514" s="232">
        <v>4015600612118</v>
      </c>
      <c r="B514" s="10" t="s">
        <v>46</v>
      </c>
      <c r="C514" s="309" t="s">
        <v>475</v>
      </c>
      <c r="D514" s="233" t="s">
        <v>348</v>
      </c>
      <c r="E514" s="52">
        <v>399.13500000000005</v>
      </c>
      <c r="F514" s="56"/>
      <c r="G514" s="542"/>
      <c r="H514" s="417">
        <f>(F514+G514)</f>
        <v>0</v>
      </c>
      <c r="I514" s="50">
        <f t="shared" si="119"/>
        <v>0</v>
      </c>
      <c r="J514" s="57">
        <f>I514*$M$27</f>
        <v>0</v>
      </c>
      <c r="K514" s="58">
        <f t="shared" si="151"/>
        <v>0</v>
      </c>
      <c r="L514" s="57">
        <f>K514*$P$5</f>
        <v>0</v>
      </c>
      <c r="M514" s="59">
        <f t="shared" si="152"/>
        <v>0</v>
      </c>
      <c r="N514" s="112"/>
      <c r="O514" s="57"/>
      <c r="P514" s="112"/>
    </row>
    <row r="515" spans="1:16" ht="15.75" thickBot="1" x14ac:dyDescent="0.25">
      <c r="A515" s="311"/>
      <c r="B515" s="312"/>
      <c r="C515" s="309" t="e">
        <v>#N/A</v>
      </c>
      <c r="D515" s="313" t="s">
        <v>536</v>
      </c>
      <c r="E515" s="517"/>
      <c r="F515" s="387"/>
      <c r="G515" s="572"/>
      <c r="H515" s="440"/>
      <c r="I515" s="234"/>
      <c r="J515" s="234"/>
      <c r="K515" s="234"/>
      <c r="L515" s="234"/>
      <c r="M515" s="235"/>
      <c r="N515" s="274"/>
      <c r="O515" s="274"/>
      <c r="P515" s="274"/>
    </row>
    <row r="516" spans="1:16" x14ac:dyDescent="0.2">
      <c r="A516" s="314">
        <v>4015600054670</v>
      </c>
      <c r="B516" s="303" t="s">
        <v>577</v>
      </c>
      <c r="C516" s="309" t="s">
        <v>475</v>
      </c>
      <c r="D516" s="315" t="s">
        <v>349</v>
      </c>
      <c r="E516" s="489">
        <v>330.10508749999997</v>
      </c>
      <c r="F516" s="370"/>
      <c r="G516" s="567"/>
      <c r="H516" s="417">
        <f t="shared" ref="H516:H552" si="153">(F516+G516)</f>
        <v>0</v>
      </c>
      <c r="I516" s="50">
        <f t="shared" si="119"/>
        <v>0</v>
      </c>
      <c r="J516" s="57">
        <f t="shared" ref="J516:J524" si="154">I516*$P$22</f>
        <v>0</v>
      </c>
      <c r="K516" s="101">
        <f t="shared" si="151"/>
        <v>0</v>
      </c>
      <c r="L516" s="100">
        <f t="shared" ref="L516:L524" si="155">K516*$P$5</f>
        <v>0</v>
      </c>
      <c r="M516" s="102">
        <f t="shared" si="152"/>
        <v>0</v>
      </c>
      <c r="N516" s="112">
        <f>E516*F516</f>
        <v>0</v>
      </c>
      <c r="O516" s="41">
        <f>+N516*0.27</f>
        <v>0</v>
      </c>
      <c r="P516" s="112">
        <f>+N516-O516</f>
        <v>0</v>
      </c>
    </row>
    <row r="517" spans="1:16" x14ac:dyDescent="0.2">
      <c r="A517" s="316">
        <v>99350189573</v>
      </c>
      <c r="B517" s="303" t="s">
        <v>577</v>
      </c>
      <c r="C517" s="309" t="s">
        <v>535</v>
      </c>
      <c r="D517" s="317" t="s">
        <v>351</v>
      </c>
      <c r="E517" s="489">
        <v>727.17091199999993</v>
      </c>
      <c r="F517" s="80"/>
      <c r="G517" s="541"/>
      <c r="H517" s="417">
        <f t="shared" si="153"/>
        <v>0</v>
      </c>
      <c r="I517" s="50">
        <f t="shared" si="119"/>
        <v>0</v>
      </c>
      <c r="J517" s="57">
        <f t="shared" si="154"/>
        <v>0</v>
      </c>
      <c r="K517" s="58">
        <f t="shared" si="151"/>
        <v>0</v>
      </c>
      <c r="L517" s="57">
        <f t="shared" si="155"/>
        <v>0</v>
      </c>
      <c r="M517" s="59">
        <f t="shared" si="152"/>
        <v>0</v>
      </c>
      <c r="N517" s="112">
        <f t="shared" ref="N517:N568" si="156">E517*F517</f>
        <v>0</v>
      </c>
      <c r="O517" s="41">
        <f t="shared" ref="O517:O569" si="157">+N517*0.27</f>
        <v>0</v>
      </c>
      <c r="P517" s="112">
        <f t="shared" ref="P517:P569" si="158">+N517-O517</f>
        <v>0</v>
      </c>
    </row>
    <row r="518" spans="1:16" x14ac:dyDescent="0.2">
      <c r="A518" s="316">
        <v>4015600054922</v>
      </c>
      <c r="B518" s="303" t="s">
        <v>577</v>
      </c>
      <c r="C518" s="309" t="s">
        <v>475</v>
      </c>
      <c r="D518" s="317" t="s">
        <v>353</v>
      </c>
      <c r="E518" s="489">
        <v>314.91460000000001</v>
      </c>
      <c r="F518" s="56"/>
      <c r="G518" s="543"/>
      <c r="H518" s="417">
        <f t="shared" si="153"/>
        <v>0</v>
      </c>
      <c r="I518" s="50">
        <f t="shared" si="119"/>
        <v>0</v>
      </c>
      <c r="J518" s="57">
        <f t="shared" si="154"/>
        <v>0</v>
      </c>
      <c r="K518" s="58">
        <f t="shared" si="151"/>
        <v>0</v>
      </c>
      <c r="L518" s="57">
        <f t="shared" si="155"/>
        <v>0</v>
      </c>
      <c r="M518" s="59">
        <f t="shared" si="152"/>
        <v>0</v>
      </c>
      <c r="N518" s="112">
        <f t="shared" si="156"/>
        <v>0</v>
      </c>
      <c r="O518" s="41">
        <f t="shared" si="157"/>
        <v>0</v>
      </c>
      <c r="P518" s="112">
        <f t="shared" si="158"/>
        <v>0</v>
      </c>
    </row>
    <row r="519" spans="1:16" x14ac:dyDescent="0.2">
      <c r="A519" s="316">
        <v>4015600054908</v>
      </c>
      <c r="B519" s="303" t="s">
        <v>577</v>
      </c>
      <c r="C519" s="309" t="s">
        <v>475</v>
      </c>
      <c r="D519" s="317" t="s">
        <v>355</v>
      </c>
      <c r="E519" s="489">
        <v>1011.5873624999999</v>
      </c>
      <c r="F519" s="56"/>
      <c r="G519" s="543"/>
      <c r="H519" s="417">
        <f t="shared" si="153"/>
        <v>0</v>
      </c>
      <c r="I519" s="50">
        <f t="shared" si="119"/>
        <v>0</v>
      </c>
      <c r="J519" s="57">
        <f t="shared" si="154"/>
        <v>0</v>
      </c>
      <c r="K519" s="58">
        <f t="shared" si="151"/>
        <v>0</v>
      </c>
      <c r="L519" s="57">
        <f t="shared" si="155"/>
        <v>0</v>
      </c>
      <c r="M519" s="59">
        <f t="shared" si="152"/>
        <v>0</v>
      </c>
      <c r="N519" s="112">
        <f t="shared" si="156"/>
        <v>0</v>
      </c>
      <c r="O519" s="41">
        <f t="shared" si="157"/>
        <v>0</v>
      </c>
      <c r="P519" s="112">
        <f t="shared" si="158"/>
        <v>0</v>
      </c>
    </row>
    <row r="520" spans="1:16" x14ac:dyDescent="0.2">
      <c r="A520" s="316">
        <v>99350189456</v>
      </c>
      <c r="B520" s="303" t="s">
        <v>577</v>
      </c>
      <c r="C520" s="309" t="s">
        <v>475</v>
      </c>
      <c r="D520" s="317" t="s">
        <v>686</v>
      </c>
      <c r="E520" s="489">
        <v>406.29356249999995</v>
      </c>
      <c r="F520" s="56"/>
      <c r="G520" s="543"/>
      <c r="H520" s="417">
        <f t="shared" si="153"/>
        <v>0</v>
      </c>
      <c r="I520" s="50">
        <f t="shared" si="119"/>
        <v>0</v>
      </c>
      <c r="J520" s="57">
        <f t="shared" si="154"/>
        <v>0</v>
      </c>
      <c r="K520" s="58">
        <f t="shared" si="151"/>
        <v>0</v>
      </c>
      <c r="L520" s="57">
        <f t="shared" si="155"/>
        <v>0</v>
      </c>
      <c r="M520" s="59">
        <f t="shared" si="152"/>
        <v>0</v>
      </c>
      <c r="N520" s="112">
        <f t="shared" si="156"/>
        <v>0</v>
      </c>
      <c r="O520" s="41">
        <f t="shared" si="157"/>
        <v>0</v>
      </c>
      <c r="P520" s="112">
        <f t="shared" si="158"/>
        <v>0</v>
      </c>
    </row>
    <row r="521" spans="1:16" x14ac:dyDescent="0.2">
      <c r="A521" s="318">
        <v>8005610592312</v>
      </c>
      <c r="B521" s="303" t="s">
        <v>577</v>
      </c>
      <c r="C521" s="309">
        <v>0</v>
      </c>
      <c r="D521" s="319" t="s">
        <v>612</v>
      </c>
      <c r="E521" s="489">
        <v>76.265000000000001</v>
      </c>
      <c r="F521" s="56"/>
      <c r="G521" s="543"/>
      <c r="H521" s="417">
        <f>(F521+G521)</f>
        <v>0</v>
      </c>
      <c r="I521" s="50">
        <f t="shared" si="119"/>
        <v>0</v>
      </c>
      <c r="J521" s="57">
        <f t="shared" si="154"/>
        <v>0</v>
      </c>
      <c r="K521" s="58">
        <f>I521-J521</f>
        <v>0</v>
      </c>
      <c r="L521" s="57">
        <f t="shared" si="155"/>
        <v>0</v>
      </c>
      <c r="M521" s="59">
        <f>K521+L521</f>
        <v>0</v>
      </c>
      <c r="N521" s="112">
        <f t="shared" si="156"/>
        <v>0</v>
      </c>
      <c r="O521" s="41">
        <f t="shared" si="157"/>
        <v>0</v>
      </c>
      <c r="P521" s="112">
        <f t="shared" si="158"/>
        <v>0</v>
      </c>
    </row>
    <row r="522" spans="1:16" x14ac:dyDescent="0.2">
      <c r="A522" s="318">
        <v>99350192158</v>
      </c>
      <c r="B522" s="303" t="s">
        <v>577</v>
      </c>
      <c r="C522" s="309">
        <v>0</v>
      </c>
      <c r="D522" s="319" t="s">
        <v>613</v>
      </c>
      <c r="E522" s="489">
        <v>86.344999999999999</v>
      </c>
      <c r="F522" s="56"/>
      <c r="G522" s="543"/>
      <c r="H522" s="417">
        <f t="shared" ref="H522:H523" si="159">(F522+G522)</f>
        <v>0</v>
      </c>
      <c r="I522" s="50">
        <f t="shared" ref="I522:I523" si="160">IF(C522="Faltante",0,E522*F522)</f>
        <v>0</v>
      </c>
      <c r="J522" s="57">
        <f t="shared" ref="J522:J523" si="161">I522*$P$22</f>
        <v>0</v>
      </c>
      <c r="K522" s="58">
        <f t="shared" ref="K522:K523" si="162">I522-J522</f>
        <v>0</v>
      </c>
      <c r="L522" s="57">
        <f t="shared" ref="L522:L523" si="163">K522*$P$5</f>
        <v>0</v>
      </c>
      <c r="M522" s="59">
        <f t="shared" ref="M522:M523" si="164">K522+L522</f>
        <v>0</v>
      </c>
      <c r="N522" s="112">
        <f t="shared" ref="N522:N523" si="165">E522*F522</f>
        <v>0</v>
      </c>
      <c r="O522" s="41">
        <f t="shared" ref="O522:O523" si="166">+N522*0.27</f>
        <v>0</v>
      </c>
      <c r="P522" s="112">
        <f t="shared" ref="P522:P523" si="167">+N522-O522</f>
        <v>0</v>
      </c>
    </row>
    <row r="523" spans="1:16" x14ac:dyDescent="0.2">
      <c r="A523" s="318">
        <v>4015600055080</v>
      </c>
      <c r="B523" s="303" t="s">
        <v>577</v>
      </c>
      <c r="C523" s="309" t="s">
        <v>475</v>
      </c>
      <c r="D523" s="319" t="s">
        <v>687</v>
      </c>
      <c r="E523" s="489">
        <v>1119.6974250000001</v>
      </c>
      <c r="F523" s="56"/>
      <c r="G523" s="543"/>
      <c r="H523" s="417">
        <f t="shared" si="159"/>
        <v>0</v>
      </c>
      <c r="I523" s="50">
        <f t="shared" si="160"/>
        <v>0</v>
      </c>
      <c r="J523" s="57">
        <f t="shared" si="161"/>
        <v>0</v>
      </c>
      <c r="K523" s="58">
        <f t="shared" si="162"/>
        <v>0</v>
      </c>
      <c r="L523" s="57">
        <f t="shared" si="163"/>
        <v>0</v>
      </c>
      <c r="M523" s="59">
        <f t="shared" si="164"/>
        <v>0</v>
      </c>
      <c r="N523" s="112">
        <f t="shared" si="165"/>
        <v>0</v>
      </c>
      <c r="O523" s="41">
        <f t="shared" si="166"/>
        <v>0</v>
      </c>
      <c r="P523" s="112">
        <f t="shared" si="167"/>
        <v>0</v>
      </c>
    </row>
    <row r="524" spans="1:16" ht="15.75" thickBot="1" x14ac:dyDescent="0.25">
      <c r="A524" s="318">
        <v>99350190089</v>
      </c>
      <c r="B524" s="303" t="s">
        <v>577</v>
      </c>
      <c r="C524" s="309" t="s">
        <v>475</v>
      </c>
      <c r="D524" s="319" t="s">
        <v>685</v>
      </c>
      <c r="E524" s="489">
        <v>524.29</v>
      </c>
      <c r="F524" s="56"/>
      <c r="G524" s="543"/>
      <c r="H524" s="417">
        <f t="shared" si="153"/>
        <v>0</v>
      </c>
      <c r="I524" s="50">
        <f t="shared" si="119"/>
        <v>0</v>
      </c>
      <c r="J524" s="57">
        <f t="shared" si="154"/>
        <v>0</v>
      </c>
      <c r="K524" s="58">
        <f t="shared" si="151"/>
        <v>0</v>
      </c>
      <c r="L524" s="57">
        <f t="shared" si="155"/>
        <v>0</v>
      </c>
      <c r="M524" s="59">
        <f t="shared" si="152"/>
        <v>0</v>
      </c>
      <c r="N524" s="112">
        <f t="shared" si="156"/>
        <v>0</v>
      </c>
      <c r="O524" s="41">
        <f t="shared" si="157"/>
        <v>0</v>
      </c>
      <c r="P524" s="112">
        <f t="shared" si="158"/>
        <v>0</v>
      </c>
    </row>
    <row r="525" spans="1:16" ht="15.75" thickBot="1" x14ac:dyDescent="0.25">
      <c r="A525" s="320"/>
      <c r="B525" s="321"/>
      <c r="C525" s="309" t="e">
        <v>#N/A</v>
      </c>
      <c r="D525" s="313" t="s">
        <v>537</v>
      </c>
      <c r="E525" s="517"/>
      <c r="F525" s="387"/>
      <c r="G525" s="572"/>
      <c r="H525" s="440"/>
      <c r="I525" s="234"/>
      <c r="J525" s="234"/>
      <c r="K525" s="234"/>
      <c r="L525" s="234"/>
      <c r="M525" s="235"/>
      <c r="N525" s="112"/>
      <c r="O525" s="41"/>
      <c r="P525" s="112"/>
    </row>
    <row r="526" spans="1:16" x14ac:dyDescent="0.2">
      <c r="A526" s="322">
        <v>99350181112</v>
      </c>
      <c r="B526" s="303" t="s">
        <v>577</v>
      </c>
      <c r="C526" s="309" t="s">
        <v>475</v>
      </c>
      <c r="D526" s="323" t="s">
        <v>450</v>
      </c>
      <c r="E526" s="489">
        <v>330.11</v>
      </c>
      <c r="F526" s="56"/>
      <c r="G526" s="543"/>
      <c r="H526" s="417">
        <f t="shared" si="153"/>
        <v>0</v>
      </c>
      <c r="I526" s="50">
        <f t="shared" si="119"/>
        <v>0</v>
      </c>
      <c r="J526" s="57">
        <f>I526*$P$22</f>
        <v>0</v>
      </c>
      <c r="K526" s="58">
        <f t="shared" si="151"/>
        <v>0</v>
      </c>
      <c r="L526" s="57">
        <f t="shared" ref="L526:L531" si="168">K526*$P$5</f>
        <v>0</v>
      </c>
      <c r="M526" s="59">
        <f t="shared" si="152"/>
        <v>0</v>
      </c>
      <c r="N526" s="112">
        <f t="shared" si="156"/>
        <v>0</v>
      </c>
      <c r="O526" s="41">
        <f t="shared" si="157"/>
        <v>0</v>
      </c>
      <c r="P526" s="112">
        <f t="shared" si="158"/>
        <v>0</v>
      </c>
    </row>
    <row r="527" spans="1:16" x14ac:dyDescent="0.2">
      <c r="A527" s="322">
        <v>99350181110</v>
      </c>
      <c r="B527" s="303" t="s">
        <v>577</v>
      </c>
      <c r="C527" s="309" t="s">
        <v>475</v>
      </c>
      <c r="D527" s="323" t="s">
        <v>451</v>
      </c>
      <c r="E527" s="489">
        <v>719.97</v>
      </c>
      <c r="F527" s="56"/>
      <c r="G527" s="543"/>
      <c r="H527" s="417">
        <f t="shared" si="153"/>
        <v>0</v>
      </c>
      <c r="I527" s="50">
        <f t="shared" si="119"/>
        <v>0</v>
      </c>
      <c r="J527" s="57">
        <f>I527*$P$22</f>
        <v>0</v>
      </c>
      <c r="K527" s="58">
        <f t="shared" si="151"/>
        <v>0</v>
      </c>
      <c r="L527" s="57">
        <f t="shared" si="168"/>
        <v>0</v>
      </c>
      <c r="M527" s="59">
        <f t="shared" si="152"/>
        <v>0</v>
      </c>
      <c r="N527" s="112">
        <f t="shared" si="156"/>
        <v>0</v>
      </c>
      <c r="O527" s="41">
        <f t="shared" si="157"/>
        <v>0</v>
      </c>
      <c r="P527" s="112">
        <f t="shared" si="158"/>
        <v>0</v>
      </c>
    </row>
    <row r="528" spans="1:16" x14ac:dyDescent="0.2">
      <c r="A528" s="322">
        <v>99350180519</v>
      </c>
      <c r="B528" s="303" t="s">
        <v>577</v>
      </c>
      <c r="C528" s="309" t="s">
        <v>475</v>
      </c>
      <c r="D528" s="323" t="s">
        <v>448</v>
      </c>
      <c r="E528" s="489">
        <v>406.31</v>
      </c>
      <c r="F528" s="56"/>
      <c r="G528" s="543"/>
      <c r="H528" s="417">
        <f t="shared" si="153"/>
        <v>0</v>
      </c>
      <c r="I528" s="50">
        <f t="shared" si="119"/>
        <v>0</v>
      </c>
      <c r="J528" s="57">
        <f>I528*$P$22</f>
        <v>0</v>
      </c>
      <c r="K528" s="58">
        <f t="shared" si="151"/>
        <v>0</v>
      </c>
      <c r="L528" s="57">
        <f t="shared" si="168"/>
        <v>0</v>
      </c>
      <c r="M528" s="59">
        <f t="shared" si="152"/>
        <v>0</v>
      </c>
      <c r="N528" s="112">
        <f t="shared" si="156"/>
        <v>0</v>
      </c>
      <c r="O528" s="41">
        <f t="shared" si="157"/>
        <v>0</v>
      </c>
      <c r="P528" s="112">
        <f t="shared" si="158"/>
        <v>0</v>
      </c>
    </row>
    <row r="529" spans="1:16" x14ac:dyDescent="0.2">
      <c r="A529" s="322">
        <v>99350180515</v>
      </c>
      <c r="B529" s="303" t="s">
        <v>577</v>
      </c>
      <c r="C529" s="309" t="s">
        <v>475</v>
      </c>
      <c r="D529" s="323" t="s">
        <v>449</v>
      </c>
      <c r="E529" s="489">
        <v>1122.02</v>
      </c>
      <c r="F529" s="56"/>
      <c r="G529" s="543"/>
      <c r="H529" s="417">
        <f>(F529+G529)</f>
        <v>0</v>
      </c>
      <c r="I529" s="50">
        <f t="shared" si="119"/>
        <v>0</v>
      </c>
      <c r="J529" s="57">
        <f>I529*$P$22</f>
        <v>0</v>
      </c>
      <c r="K529" s="58">
        <f>I529-J529</f>
        <v>0</v>
      </c>
      <c r="L529" s="57">
        <f t="shared" si="168"/>
        <v>0</v>
      </c>
      <c r="M529" s="59">
        <f>K529+L529</f>
        <v>0</v>
      </c>
      <c r="N529" s="112">
        <f t="shared" si="156"/>
        <v>0</v>
      </c>
      <c r="O529" s="41">
        <f t="shared" si="157"/>
        <v>0</v>
      </c>
      <c r="P529" s="112">
        <f t="shared" si="158"/>
        <v>0</v>
      </c>
    </row>
    <row r="530" spans="1:16" x14ac:dyDescent="0.2">
      <c r="A530" s="322">
        <v>99350077467</v>
      </c>
      <c r="B530" s="303" t="s">
        <v>577</v>
      </c>
      <c r="C530" s="309" t="s">
        <v>475</v>
      </c>
      <c r="D530" s="323" t="s">
        <v>371</v>
      </c>
      <c r="E530" s="489">
        <v>521.07000000000005</v>
      </c>
      <c r="F530" s="49"/>
      <c r="G530" s="542"/>
      <c r="H530" s="417">
        <f t="shared" si="153"/>
        <v>0</v>
      </c>
      <c r="I530" s="50">
        <f t="shared" si="119"/>
        <v>0</v>
      </c>
      <c r="J530" s="57">
        <f>I530*$P$22</f>
        <v>0</v>
      </c>
      <c r="K530" s="52">
        <f>I530-J530</f>
        <v>0</v>
      </c>
      <c r="L530" s="51">
        <f t="shared" si="168"/>
        <v>0</v>
      </c>
      <c r="M530" s="53">
        <f t="shared" si="152"/>
        <v>0</v>
      </c>
      <c r="N530" s="112">
        <f t="shared" si="156"/>
        <v>0</v>
      </c>
      <c r="O530" s="41">
        <f t="shared" si="157"/>
        <v>0</v>
      </c>
      <c r="P530" s="112">
        <f t="shared" si="158"/>
        <v>0</v>
      </c>
    </row>
    <row r="531" spans="1:16" ht="15.75" thickBot="1" x14ac:dyDescent="0.25">
      <c r="A531" s="322">
        <v>99350180530</v>
      </c>
      <c r="B531" s="303" t="s">
        <v>577</v>
      </c>
      <c r="C531" s="309" t="s">
        <v>475</v>
      </c>
      <c r="D531" s="323" t="s">
        <v>447</v>
      </c>
      <c r="E531" s="489">
        <v>377.9</v>
      </c>
      <c r="F531" s="56"/>
      <c r="G531" s="543"/>
      <c r="H531" s="417">
        <f t="shared" si="153"/>
        <v>0</v>
      </c>
      <c r="I531" s="50">
        <f t="shared" si="119"/>
        <v>0</v>
      </c>
      <c r="J531" s="57">
        <f t="shared" ref="J531:J539" si="169">I531*$P$22</f>
        <v>0</v>
      </c>
      <c r="K531" s="58">
        <f t="shared" si="151"/>
        <v>0</v>
      </c>
      <c r="L531" s="57">
        <f t="shared" si="168"/>
        <v>0</v>
      </c>
      <c r="M531" s="59">
        <f t="shared" si="152"/>
        <v>0</v>
      </c>
      <c r="N531" s="112">
        <f t="shared" si="156"/>
        <v>0</v>
      </c>
      <c r="O531" s="41">
        <f t="shared" si="157"/>
        <v>0</v>
      </c>
      <c r="P531" s="112">
        <f t="shared" si="158"/>
        <v>0</v>
      </c>
    </row>
    <row r="532" spans="1:16" ht="15.75" thickBot="1" x14ac:dyDescent="0.25">
      <c r="A532" s="320"/>
      <c r="B532" s="321"/>
      <c r="C532" s="309" t="e">
        <v>#N/A</v>
      </c>
      <c r="D532" s="313" t="s">
        <v>538</v>
      </c>
      <c r="E532" s="517"/>
      <c r="F532" s="387"/>
      <c r="G532" s="572"/>
      <c r="H532" s="440"/>
      <c r="I532" s="234"/>
      <c r="J532" s="234"/>
      <c r="K532" s="234"/>
      <c r="L532" s="234"/>
      <c r="M532" s="235"/>
      <c r="N532" s="112">
        <f t="shared" si="156"/>
        <v>0</v>
      </c>
      <c r="O532" s="41">
        <f t="shared" si="157"/>
        <v>0</v>
      </c>
      <c r="P532" s="112">
        <f t="shared" si="158"/>
        <v>0</v>
      </c>
    </row>
    <row r="533" spans="1:16" x14ac:dyDescent="0.2">
      <c r="A533" s="316">
        <v>99350189587</v>
      </c>
      <c r="B533" s="303" t="s">
        <v>577</v>
      </c>
      <c r="C533" s="309" t="s">
        <v>475</v>
      </c>
      <c r="D533" s="317" t="s">
        <v>630</v>
      </c>
      <c r="E533" s="489">
        <v>300.57849999999996</v>
      </c>
      <c r="F533" s="62"/>
      <c r="G533" s="543"/>
      <c r="H533" s="417">
        <f t="shared" si="153"/>
        <v>0</v>
      </c>
      <c r="I533" s="50">
        <f t="shared" si="119"/>
        <v>0</v>
      </c>
      <c r="J533" s="57">
        <f t="shared" si="169"/>
        <v>0</v>
      </c>
      <c r="K533" s="64">
        <f t="shared" si="151"/>
        <v>0</v>
      </c>
      <c r="L533" s="63">
        <f>K533*$P$5</f>
        <v>0</v>
      </c>
      <c r="M533" s="65">
        <f t="shared" si="152"/>
        <v>0</v>
      </c>
      <c r="N533" s="112">
        <f t="shared" si="156"/>
        <v>0</v>
      </c>
      <c r="O533" s="41">
        <f t="shared" si="157"/>
        <v>0</v>
      </c>
      <c r="P533" s="112">
        <f t="shared" si="158"/>
        <v>0</v>
      </c>
    </row>
    <row r="534" spans="1:16" x14ac:dyDescent="0.2">
      <c r="A534" s="322">
        <v>99240017008</v>
      </c>
      <c r="B534" s="303" t="s">
        <v>577</v>
      </c>
      <c r="C534" s="309" t="s">
        <v>475</v>
      </c>
      <c r="D534" s="323" t="s">
        <v>629</v>
      </c>
      <c r="E534" s="489">
        <v>716.63799999999992</v>
      </c>
      <c r="F534" s="56"/>
      <c r="G534" s="543"/>
      <c r="H534" s="417">
        <f>(F534+G534)</f>
        <v>0</v>
      </c>
      <c r="I534" s="50">
        <f t="shared" si="119"/>
        <v>0</v>
      </c>
      <c r="J534" s="57">
        <f>I534*$P$22</f>
        <v>0</v>
      </c>
      <c r="K534" s="58">
        <f>I534-J534</f>
        <v>0</v>
      </c>
      <c r="L534" s="57">
        <f>K534*$P$5</f>
        <v>0</v>
      </c>
      <c r="M534" s="59">
        <f>K534+L534</f>
        <v>0</v>
      </c>
      <c r="N534" s="112">
        <f t="shared" si="156"/>
        <v>0</v>
      </c>
      <c r="O534" s="41">
        <f t="shared" si="157"/>
        <v>0</v>
      </c>
      <c r="P534" s="112">
        <f t="shared" si="158"/>
        <v>0</v>
      </c>
    </row>
    <row r="535" spans="1:16" x14ac:dyDescent="0.2">
      <c r="A535" s="322">
        <v>99350189565</v>
      </c>
      <c r="B535" s="303" t="s">
        <v>577</v>
      </c>
      <c r="C535" s="309" t="s">
        <v>475</v>
      </c>
      <c r="D535" s="323" t="s">
        <v>628</v>
      </c>
      <c r="E535" s="489">
        <v>253.14099999999993</v>
      </c>
      <c r="F535" s="56"/>
      <c r="G535" s="543"/>
      <c r="H535" s="417">
        <f t="shared" si="153"/>
        <v>0</v>
      </c>
      <c r="I535" s="50">
        <f t="shared" si="119"/>
        <v>0</v>
      </c>
      <c r="J535" s="57">
        <f t="shared" si="169"/>
        <v>0</v>
      </c>
      <c r="K535" s="58">
        <f>I535-J535</f>
        <v>0</v>
      </c>
      <c r="L535" s="57">
        <f t="shared" ref="L535:L545" si="170">K535*$P$5</f>
        <v>0</v>
      </c>
      <c r="M535" s="59">
        <f t="shared" si="152"/>
        <v>0</v>
      </c>
      <c r="N535" s="112">
        <f t="shared" si="156"/>
        <v>0</v>
      </c>
      <c r="O535" s="41">
        <f t="shared" si="157"/>
        <v>0</v>
      </c>
      <c r="P535" s="112">
        <f t="shared" si="158"/>
        <v>0</v>
      </c>
    </row>
    <row r="536" spans="1:16" x14ac:dyDescent="0.2">
      <c r="A536" s="322">
        <v>99240017009</v>
      </c>
      <c r="B536" s="303" t="s">
        <v>577</v>
      </c>
      <c r="C536" s="309" t="s">
        <v>475</v>
      </c>
      <c r="D536" s="323" t="s">
        <v>369</v>
      </c>
      <c r="E536" s="489">
        <v>821.82</v>
      </c>
      <c r="F536" s="56"/>
      <c r="G536" s="543"/>
      <c r="H536" s="417">
        <f t="shared" si="153"/>
        <v>0</v>
      </c>
      <c r="I536" s="50">
        <f t="shared" si="119"/>
        <v>0</v>
      </c>
      <c r="J536" s="57">
        <f t="shared" si="169"/>
        <v>0</v>
      </c>
      <c r="K536" s="58">
        <f t="shared" si="151"/>
        <v>0</v>
      </c>
      <c r="L536" s="57">
        <f t="shared" si="170"/>
        <v>0</v>
      </c>
      <c r="M536" s="59">
        <f t="shared" si="152"/>
        <v>0</v>
      </c>
      <c r="N536" s="112">
        <f t="shared" si="156"/>
        <v>0</v>
      </c>
      <c r="O536" s="41">
        <f t="shared" si="157"/>
        <v>0</v>
      </c>
      <c r="P536" s="112">
        <f t="shared" si="158"/>
        <v>0</v>
      </c>
    </row>
    <row r="537" spans="1:16" x14ac:dyDescent="0.2">
      <c r="A537" s="322">
        <v>99350189448</v>
      </c>
      <c r="B537" s="303" t="s">
        <v>577</v>
      </c>
      <c r="C537" s="309" t="s">
        <v>475</v>
      </c>
      <c r="D537" s="323" t="s">
        <v>627</v>
      </c>
      <c r="E537" s="489">
        <v>429.47982000000002</v>
      </c>
      <c r="F537" s="56"/>
      <c r="G537" s="543"/>
      <c r="H537" s="417">
        <f t="shared" si="153"/>
        <v>0</v>
      </c>
      <c r="I537" s="50">
        <f t="shared" si="119"/>
        <v>0</v>
      </c>
      <c r="J537" s="57">
        <f t="shared" si="169"/>
        <v>0</v>
      </c>
      <c r="K537" s="58">
        <f t="shared" si="151"/>
        <v>0</v>
      </c>
      <c r="L537" s="57">
        <f t="shared" si="170"/>
        <v>0</v>
      </c>
      <c r="M537" s="59">
        <f t="shared" si="152"/>
        <v>0</v>
      </c>
      <c r="N537" s="112">
        <f t="shared" si="156"/>
        <v>0</v>
      </c>
      <c r="O537" s="41">
        <f t="shared" si="157"/>
        <v>0</v>
      </c>
      <c r="P537" s="112">
        <f t="shared" si="158"/>
        <v>0</v>
      </c>
    </row>
    <row r="538" spans="1:16" x14ac:dyDescent="0.2">
      <c r="A538" s="318">
        <v>99240017013</v>
      </c>
      <c r="B538" s="303" t="s">
        <v>577</v>
      </c>
      <c r="C538" s="309" t="s">
        <v>475</v>
      </c>
      <c r="D538" s="319" t="s">
        <v>370</v>
      </c>
      <c r="E538" s="489">
        <v>1116.8239500000002</v>
      </c>
      <c r="F538" s="56"/>
      <c r="G538" s="542"/>
      <c r="H538" s="417">
        <f t="shared" si="153"/>
        <v>0</v>
      </c>
      <c r="I538" s="50">
        <f t="shared" si="119"/>
        <v>0</v>
      </c>
      <c r="J538" s="57">
        <f t="shared" si="169"/>
        <v>0</v>
      </c>
      <c r="K538" s="58">
        <f t="shared" si="151"/>
        <v>0</v>
      </c>
      <c r="L538" s="57">
        <f t="shared" si="170"/>
        <v>0</v>
      </c>
      <c r="M538" s="59">
        <f t="shared" si="152"/>
        <v>0</v>
      </c>
      <c r="N538" s="112">
        <f t="shared" si="156"/>
        <v>0</v>
      </c>
      <c r="O538" s="41">
        <f t="shared" si="157"/>
        <v>0</v>
      </c>
      <c r="P538" s="112">
        <f t="shared" si="158"/>
        <v>0</v>
      </c>
    </row>
    <row r="539" spans="1:16" x14ac:dyDescent="0.2">
      <c r="A539" s="318">
        <v>4084500999206</v>
      </c>
      <c r="B539" s="303" t="s">
        <v>577</v>
      </c>
      <c r="C539" s="309" t="s">
        <v>475</v>
      </c>
      <c r="D539" s="319" t="s">
        <v>539</v>
      </c>
      <c r="E539" s="489">
        <v>496.34650800000009</v>
      </c>
      <c r="F539" s="62"/>
      <c r="G539" s="543"/>
      <c r="H539" s="390">
        <f>(F539+G539)</f>
        <v>0</v>
      </c>
      <c r="I539" s="50">
        <f t="shared" si="119"/>
        <v>0</v>
      </c>
      <c r="J539" s="57">
        <f t="shared" si="169"/>
        <v>0</v>
      </c>
      <c r="K539" s="64">
        <f t="shared" si="151"/>
        <v>0</v>
      </c>
      <c r="L539" s="63">
        <f t="shared" si="170"/>
        <v>0</v>
      </c>
      <c r="M539" s="65">
        <f>K539+L539</f>
        <v>0</v>
      </c>
      <c r="N539" s="112">
        <f t="shared" si="156"/>
        <v>0</v>
      </c>
      <c r="O539" s="41">
        <f t="shared" si="157"/>
        <v>0</v>
      </c>
      <c r="P539" s="112">
        <f t="shared" si="158"/>
        <v>0</v>
      </c>
    </row>
    <row r="540" spans="1:16" x14ac:dyDescent="0.2">
      <c r="A540" s="318">
        <v>99350129982</v>
      </c>
      <c r="B540" s="303" t="s">
        <v>577</v>
      </c>
      <c r="C540" s="309" t="s">
        <v>475</v>
      </c>
      <c r="D540" s="319" t="s">
        <v>614</v>
      </c>
      <c r="E540" s="489">
        <v>58.7</v>
      </c>
      <c r="F540" s="62"/>
      <c r="G540" s="543"/>
      <c r="H540" s="390">
        <f>(F540+G540)</f>
        <v>0</v>
      </c>
      <c r="I540" s="50">
        <f t="shared" ref="I540" si="171">IF(C540="Faltante",0,E540*F540)</f>
        <v>0</v>
      </c>
      <c r="J540" s="57">
        <f t="shared" ref="J540" si="172">I540*$P$22</f>
        <v>0</v>
      </c>
      <c r="K540" s="64">
        <f t="shared" ref="K540" si="173">I540-J540</f>
        <v>0</v>
      </c>
      <c r="L540" s="63">
        <f t="shared" ref="L540" si="174">K540*$P$5</f>
        <v>0</v>
      </c>
      <c r="M540" s="65">
        <f>K540+L540</f>
        <v>0</v>
      </c>
      <c r="N540" s="112">
        <f t="shared" ref="N540" si="175">E540*F540</f>
        <v>0</v>
      </c>
      <c r="O540" s="41">
        <f t="shared" ref="O540" si="176">+N540*0.27</f>
        <v>0</v>
      </c>
      <c r="P540" s="112">
        <f t="shared" ref="P540" si="177">+N540-O540</f>
        <v>0</v>
      </c>
    </row>
    <row r="541" spans="1:16" x14ac:dyDescent="0.2">
      <c r="A541" s="318">
        <v>99240017058</v>
      </c>
      <c r="B541" s="303" t="s">
        <v>577</v>
      </c>
      <c r="C541" s="309" t="s">
        <v>475</v>
      </c>
      <c r="D541" s="319" t="s">
        <v>615</v>
      </c>
      <c r="E541" s="441">
        <v>86.344999999999999</v>
      </c>
      <c r="F541" s="62"/>
      <c r="G541" s="543"/>
      <c r="H541" s="390">
        <f>(F541+G541)</f>
        <v>0</v>
      </c>
      <c r="I541" s="50">
        <f t="shared" ref="I541" si="178">IF(C541="Faltante",0,E541*F541)</f>
        <v>0</v>
      </c>
      <c r="J541" s="57">
        <f t="shared" ref="J541" si="179">I541*$P$22</f>
        <v>0</v>
      </c>
      <c r="K541" s="64">
        <f t="shared" ref="K541" si="180">I541-J541</f>
        <v>0</v>
      </c>
      <c r="L541" s="63">
        <f t="shared" ref="L541" si="181">K541*$P$5</f>
        <v>0</v>
      </c>
      <c r="M541" s="65">
        <f>K541+L541</f>
        <v>0</v>
      </c>
      <c r="N541" s="112">
        <f t="shared" ref="N541" si="182">E541*F541</f>
        <v>0</v>
      </c>
      <c r="O541" s="41">
        <f t="shared" ref="O541" si="183">+N541*0.27</f>
        <v>0</v>
      </c>
      <c r="P541" s="112">
        <f t="shared" ref="P541" si="184">+N541-O541</f>
        <v>0</v>
      </c>
    </row>
    <row r="542" spans="1:16" ht="15.75" thickBot="1" x14ac:dyDescent="0.25">
      <c r="A542" s="318">
        <v>99350045971</v>
      </c>
      <c r="B542" s="303" t="s">
        <v>577</v>
      </c>
      <c r="C542" s="309" t="s">
        <v>475</v>
      </c>
      <c r="D542" s="319" t="s">
        <v>616</v>
      </c>
      <c r="E542" s="441">
        <v>195.12324999999998</v>
      </c>
      <c r="F542" s="62"/>
      <c r="G542" s="543"/>
      <c r="H542" s="390">
        <f>(F542+G542)</f>
        <v>0</v>
      </c>
      <c r="I542" s="50">
        <f t="shared" ref="I542" si="185">IF(C542="Faltante",0,E542*F542)</f>
        <v>0</v>
      </c>
      <c r="J542" s="57">
        <f t="shared" ref="J542" si="186">I542*$P$22</f>
        <v>0</v>
      </c>
      <c r="K542" s="64">
        <f t="shared" ref="K542" si="187">I542-J542</f>
        <v>0</v>
      </c>
      <c r="L542" s="63">
        <f t="shared" ref="L542" si="188">K542*$P$5</f>
        <v>0</v>
      </c>
      <c r="M542" s="65">
        <f>K542+L542</f>
        <v>0</v>
      </c>
      <c r="N542" s="112">
        <f t="shared" ref="N542" si="189">E542*F542</f>
        <v>0</v>
      </c>
      <c r="O542" s="41">
        <f t="shared" ref="O542" si="190">+N542*0.27</f>
        <v>0</v>
      </c>
      <c r="P542" s="112">
        <f t="shared" ref="P542" si="191">+N542-O542</f>
        <v>0</v>
      </c>
    </row>
    <row r="543" spans="1:16" ht="15.75" thickBot="1" x14ac:dyDescent="0.25">
      <c r="A543" s="320"/>
      <c r="B543" s="321"/>
      <c r="C543" s="309" t="e">
        <v>#N/A</v>
      </c>
      <c r="D543" s="313" t="s">
        <v>540</v>
      </c>
      <c r="E543" s="360"/>
      <c r="F543" s="357"/>
      <c r="G543" s="573"/>
      <c r="H543" s="360"/>
      <c r="I543" s="360"/>
      <c r="J543" s="360"/>
      <c r="K543" s="360"/>
      <c r="L543" s="360"/>
      <c r="M543" s="360"/>
      <c r="N543" s="112">
        <f t="shared" si="156"/>
        <v>0</v>
      </c>
      <c r="O543" s="41">
        <f t="shared" si="157"/>
        <v>0</v>
      </c>
      <c r="P543" s="112">
        <f t="shared" si="158"/>
        <v>0</v>
      </c>
    </row>
    <row r="544" spans="1:16" x14ac:dyDescent="0.2">
      <c r="A544" s="322">
        <v>4015600054755</v>
      </c>
      <c r="B544" s="303" t="s">
        <v>577</v>
      </c>
      <c r="C544" s="309" t="s">
        <v>535</v>
      </c>
      <c r="D544" s="323" t="s">
        <v>350</v>
      </c>
      <c r="E544" s="441">
        <v>286.44000000000005</v>
      </c>
      <c r="F544" s="62"/>
      <c r="G544" s="574"/>
      <c r="H544" s="390">
        <f>(F544+G544)</f>
        <v>0</v>
      </c>
      <c r="I544" s="50">
        <f t="shared" si="119"/>
        <v>0</v>
      </c>
      <c r="J544" s="57">
        <f>I544*$P$22</f>
        <v>0</v>
      </c>
      <c r="K544" s="64">
        <f>I544-J544</f>
        <v>0</v>
      </c>
      <c r="L544" s="63">
        <f t="shared" si="170"/>
        <v>0</v>
      </c>
      <c r="M544" s="65">
        <f>K544+L544</f>
        <v>0</v>
      </c>
      <c r="N544" s="112">
        <f t="shared" si="156"/>
        <v>0</v>
      </c>
      <c r="O544" s="41">
        <f t="shared" si="157"/>
        <v>0</v>
      </c>
      <c r="P544" s="112">
        <f t="shared" si="158"/>
        <v>0</v>
      </c>
    </row>
    <row r="545" spans="1:16" x14ac:dyDescent="0.2">
      <c r="A545" s="316">
        <v>4015600054731</v>
      </c>
      <c r="B545" s="303" t="s">
        <v>577</v>
      </c>
      <c r="C545" s="309" t="s">
        <v>535</v>
      </c>
      <c r="D545" s="317" t="s">
        <v>352</v>
      </c>
      <c r="E545" s="441">
        <v>719.97120000000007</v>
      </c>
      <c r="F545" s="56"/>
      <c r="G545" s="543"/>
      <c r="H545" s="417">
        <f>(F545+G545)</f>
        <v>0</v>
      </c>
      <c r="I545" s="50">
        <f t="shared" si="119"/>
        <v>0</v>
      </c>
      <c r="J545" s="57">
        <f>I545*$P$22</f>
        <v>0</v>
      </c>
      <c r="K545" s="58">
        <f>I545-J545</f>
        <v>0</v>
      </c>
      <c r="L545" s="57">
        <f t="shared" si="170"/>
        <v>0</v>
      </c>
      <c r="M545" s="59">
        <f>K545+L545</f>
        <v>0</v>
      </c>
      <c r="N545" s="112">
        <f t="shared" si="156"/>
        <v>0</v>
      </c>
      <c r="O545" s="41">
        <f t="shared" si="157"/>
        <v>0</v>
      </c>
      <c r="P545" s="112">
        <f t="shared" si="158"/>
        <v>0</v>
      </c>
    </row>
    <row r="546" spans="1:16" x14ac:dyDescent="0.2">
      <c r="A546" s="316">
        <v>4015600055004</v>
      </c>
      <c r="B546" s="303" t="s">
        <v>577</v>
      </c>
      <c r="C546" s="309" t="s">
        <v>475</v>
      </c>
      <c r="D546" s="317" t="s">
        <v>354</v>
      </c>
      <c r="E546" s="441">
        <v>327.22800000000007</v>
      </c>
      <c r="F546" s="49"/>
      <c r="G546" s="542"/>
      <c r="H546" s="417">
        <f t="shared" si="153"/>
        <v>0</v>
      </c>
      <c r="I546" s="50">
        <f t="shared" si="119"/>
        <v>0</v>
      </c>
      <c r="J546" s="57">
        <f t="shared" ref="J546:J552" si="192">I546*$P$22</f>
        <v>0</v>
      </c>
      <c r="K546" s="58">
        <f t="shared" si="151"/>
        <v>0</v>
      </c>
      <c r="L546" s="57">
        <f t="shared" ref="L546:L552" si="193">K546*$P$5</f>
        <v>0</v>
      </c>
      <c r="M546" s="59">
        <f t="shared" si="152"/>
        <v>0</v>
      </c>
      <c r="N546" s="112">
        <f t="shared" si="156"/>
        <v>0</v>
      </c>
      <c r="O546" s="41">
        <f t="shared" si="157"/>
        <v>0</v>
      </c>
      <c r="P546" s="112">
        <f t="shared" si="158"/>
        <v>0</v>
      </c>
    </row>
    <row r="547" spans="1:16" x14ac:dyDescent="0.2">
      <c r="A547" s="316">
        <v>4015600054984</v>
      </c>
      <c r="B547" s="303" t="s">
        <v>577</v>
      </c>
      <c r="C547" s="309" t="s">
        <v>535</v>
      </c>
      <c r="D547" s="317" t="s">
        <v>356</v>
      </c>
      <c r="E547" s="441">
        <v>941.01149999999996</v>
      </c>
      <c r="F547" s="49"/>
      <c r="G547" s="542"/>
      <c r="H547" s="417">
        <f t="shared" si="153"/>
        <v>0</v>
      </c>
      <c r="I547" s="50">
        <f t="shared" si="119"/>
        <v>0</v>
      </c>
      <c r="J547" s="57">
        <f t="shared" si="192"/>
        <v>0</v>
      </c>
      <c r="K547" s="58">
        <f t="shared" si="151"/>
        <v>0</v>
      </c>
      <c r="L547" s="57">
        <f t="shared" si="193"/>
        <v>0</v>
      </c>
      <c r="M547" s="59">
        <f t="shared" si="152"/>
        <v>0</v>
      </c>
      <c r="N547" s="112">
        <f t="shared" si="156"/>
        <v>0</v>
      </c>
      <c r="O547" s="41">
        <f t="shared" si="157"/>
        <v>0</v>
      </c>
      <c r="P547" s="112">
        <f t="shared" si="158"/>
        <v>0</v>
      </c>
    </row>
    <row r="548" spans="1:16" x14ac:dyDescent="0.2">
      <c r="A548" s="324">
        <v>4015600055455</v>
      </c>
      <c r="B548" s="303" t="s">
        <v>577</v>
      </c>
      <c r="C548" s="309" t="s">
        <v>621</v>
      </c>
      <c r="D548" s="325" t="s">
        <v>357</v>
      </c>
      <c r="E548" s="441">
        <v>371.00799999999998</v>
      </c>
      <c r="F548" s="56"/>
      <c r="G548" s="543"/>
      <c r="H548" s="417">
        <f t="shared" si="153"/>
        <v>0</v>
      </c>
      <c r="I548" s="50">
        <f t="shared" si="119"/>
        <v>0</v>
      </c>
      <c r="J548" s="57">
        <f t="shared" si="192"/>
        <v>0</v>
      </c>
      <c r="K548" s="58">
        <f t="shared" si="151"/>
        <v>0</v>
      </c>
      <c r="L548" s="57">
        <f t="shared" si="193"/>
        <v>0</v>
      </c>
      <c r="M548" s="59">
        <f t="shared" si="152"/>
        <v>0</v>
      </c>
      <c r="N548" s="112">
        <f t="shared" si="156"/>
        <v>0</v>
      </c>
      <c r="O548" s="41">
        <f t="shared" si="157"/>
        <v>0</v>
      </c>
      <c r="P548" s="112">
        <f t="shared" si="158"/>
        <v>0</v>
      </c>
    </row>
    <row r="549" spans="1:16" ht="15.75" thickBot="1" x14ac:dyDescent="0.25">
      <c r="A549" s="316">
        <v>4015600055141</v>
      </c>
      <c r="B549" s="303" t="s">
        <v>577</v>
      </c>
      <c r="C549" s="309" t="s">
        <v>621</v>
      </c>
      <c r="D549" s="317" t="s">
        <v>358</v>
      </c>
      <c r="E549" s="441">
        <v>1041.5790000000002</v>
      </c>
      <c r="F549" s="49"/>
      <c r="G549" s="543"/>
      <c r="H549" s="417">
        <f>(F549+G549)</f>
        <v>0</v>
      </c>
      <c r="I549" s="50">
        <f t="shared" si="119"/>
        <v>0</v>
      </c>
      <c r="J549" s="57">
        <f t="shared" si="192"/>
        <v>0</v>
      </c>
      <c r="K549" s="58">
        <f>I549-J549</f>
        <v>0</v>
      </c>
      <c r="L549" s="57">
        <f>K549*$P$5</f>
        <v>0</v>
      </c>
      <c r="M549" s="59">
        <f>K549+L549</f>
        <v>0</v>
      </c>
      <c r="N549" s="112">
        <f t="shared" si="156"/>
        <v>0</v>
      </c>
      <c r="O549" s="41">
        <f t="shared" si="157"/>
        <v>0</v>
      </c>
      <c r="P549" s="112">
        <f t="shared" si="158"/>
        <v>0</v>
      </c>
    </row>
    <row r="550" spans="1:16" ht="15.75" thickBot="1" x14ac:dyDescent="0.25">
      <c r="A550" s="320"/>
      <c r="B550" s="321"/>
      <c r="C550" s="309" t="e">
        <v>#N/A</v>
      </c>
      <c r="D550" s="313" t="s">
        <v>363</v>
      </c>
      <c r="E550" s="360"/>
      <c r="F550" s="357"/>
      <c r="G550" s="573"/>
      <c r="H550" s="360"/>
      <c r="I550" s="360"/>
      <c r="J550" s="360"/>
      <c r="K550" s="360"/>
      <c r="L550" s="360"/>
      <c r="M550" s="360"/>
      <c r="N550" s="112">
        <f t="shared" si="156"/>
        <v>0</v>
      </c>
      <c r="O550" s="41">
        <f t="shared" si="157"/>
        <v>0</v>
      </c>
      <c r="P550" s="112">
        <f t="shared" si="158"/>
        <v>0</v>
      </c>
    </row>
    <row r="551" spans="1:16" x14ac:dyDescent="0.2">
      <c r="A551" s="326">
        <v>8005610426556</v>
      </c>
      <c r="B551" s="303" t="s">
        <v>577</v>
      </c>
      <c r="C551" s="309" t="s">
        <v>535</v>
      </c>
      <c r="D551" s="327" t="s">
        <v>364</v>
      </c>
      <c r="E551" s="441">
        <v>278.25600000000003</v>
      </c>
      <c r="F551" s="49"/>
      <c r="G551" s="543"/>
      <c r="H551" s="417">
        <f t="shared" si="153"/>
        <v>0</v>
      </c>
      <c r="I551" s="50">
        <f t="shared" si="119"/>
        <v>0</v>
      </c>
      <c r="J551" s="57">
        <f t="shared" si="192"/>
        <v>0</v>
      </c>
      <c r="K551" s="58">
        <f t="shared" si="151"/>
        <v>0</v>
      </c>
      <c r="L551" s="57">
        <f t="shared" si="193"/>
        <v>0</v>
      </c>
      <c r="M551" s="59">
        <f t="shared" si="152"/>
        <v>0</v>
      </c>
      <c r="N551" s="112">
        <f t="shared" si="156"/>
        <v>0</v>
      </c>
      <c r="O551" s="41">
        <f t="shared" si="157"/>
        <v>0</v>
      </c>
      <c r="P551" s="112">
        <f t="shared" si="158"/>
        <v>0</v>
      </c>
    </row>
    <row r="552" spans="1:16" x14ac:dyDescent="0.2">
      <c r="A552" s="322">
        <v>8005610426648</v>
      </c>
      <c r="B552" s="303" t="s">
        <v>577</v>
      </c>
      <c r="C552" s="309" t="s">
        <v>535</v>
      </c>
      <c r="D552" s="323" t="s">
        <v>365</v>
      </c>
      <c r="E552" s="441">
        <v>318.38400000000001</v>
      </c>
      <c r="F552" s="56"/>
      <c r="G552" s="543"/>
      <c r="H552" s="417">
        <f t="shared" si="153"/>
        <v>0</v>
      </c>
      <c r="I552" s="50">
        <f t="shared" si="119"/>
        <v>0</v>
      </c>
      <c r="J552" s="57">
        <f t="shared" si="192"/>
        <v>0</v>
      </c>
      <c r="K552" s="58">
        <f t="shared" si="151"/>
        <v>0</v>
      </c>
      <c r="L552" s="57">
        <f t="shared" si="193"/>
        <v>0</v>
      </c>
      <c r="M552" s="59">
        <f t="shared" si="152"/>
        <v>0</v>
      </c>
      <c r="N552" s="112">
        <f t="shared" si="156"/>
        <v>0</v>
      </c>
      <c r="O552" s="41">
        <f t="shared" si="157"/>
        <v>0</v>
      </c>
      <c r="P552" s="112">
        <f t="shared" si="158"/>
        <v>0</v>
      </c>
    </row>
    <row r="553" spans="1:16" x14ac:dyDescent="0.2">
      <c r="A553" s="322">
        <v>8005610426730</v>
      </c>
      <c r="B553" s="303" t="s">
        <v>577</v>
      </c>
      <c r="C553" s="309" t="s">
        <v>535</v>
      </c>
      <c r="D553" s="323" t="s">
        <v>366</v>
      </c>
      <c r="E553" s="441">
        <v>372.68000000000006</v>
      </c>
      <c r="F553" s="56"/>
      <c r="G553" s="543"/>
      <c r="H553" s="417">
        <f>(F553+G553)</f>
        <v>0</v>
      </c>
      <c r="I553" s="50">
        <f t="shared" si="119"/>
        <v>0</v>
      </c>
      <c r="J553" s="57">
        <f>I553*$P$22</f>
        <v>0</v>
      </c>
      <c r="K553" s="58">
        <f>I553-J553</f>
        <v>0</v>
      </c>
      <c r="L553" s="57">
        <f>K553*$P$5</f>
        <v>0</v>
      </c>
      <c r="M553" s="59">
        <f>K553+L553</f>
        <v>0</v>
      </c>
      <c r="N553" s="112">
        <f t="shared" si="156"/>
        <v>0</v>
      </c>
      <c r="O553" s="41">
        <f t="shared" si="157"/>
        <v>0</v>
      </c>
      <c r="P553" s="112">
        <f t="shared" si="158"/>
        <v>0</v>
      </c>
    </row>
    <row r="554" spans="1:16" x14ac:dyDescent="0.2">
      <c r="A554" s="322">
        <v>8005610429816</v>
      </c>
      <c r="B554" s="303" t="s">
        <v>577</v>
      </c>
      <c r="C554" s="309" t="s">
        <v>621</v>
      </c>
      <c r="D554" s="323" t="s">
        <v>367</v>
      </c>
      <c r="E554" s="441">
        <v>336.00000000000006</v>
      </c>
      <c r="F554" s="56"/>
      <c r="G554" s="543"/>
      <c r="H554" s="417">
        <f>(F554+G554)</f>
        <v>0</v>
      </c>
      <c r="I554" s="50">
        <f t="shared" si="119"/>
        <v>0</v>
      </c>
      <c r="J554" s="57">
        <f>I554*$P$22</f>
        <v>0</v>
      </c>
      <c r="K554" s="58">
        <f>I554-J554</f>
        <v>0</v>
      </c>
      <c r="L554" s="57">
        <f>K554*$P$5</f>
        <v>0</v>
      </c>
      <c r="M554" s="59">
        <f>K554+L554</f>
        <v>0</v>
      </c>
      <c r="N554" s="112">
        <f t="shared" si="156"/>
        <v>0</v>
      </c>
      <c r="O554" s="41">
        <f t="shared" si="157"/>
        <v>0</v>
      </c>
      <c r="P554" s="112">
        <f t="shared" si="158"/>
        <v>0</v>
      </c>
    </row>
    <row r="555" spans="1:16" ht="15.75" thickBot="1" x14ac:dyDescent="0.25">
      <c r="A555" s="316">
        <v>8005610429908</v>
      </c>
      <c r="B555" s="303" t="s">
        <v>577</v>
      </c>
      <c r="C555" s="309" t="s">
        <v>475</v>
      </c>
      <c r="D555" s="317" t="s">
        <v>368</v>
      </c>
      <c r="E555" s="441">
        <v>350.90000000000003</v>
      </c>
      <c r="F555" s="56"/>
      <c r="G555" s="543"/>
      <c r="H555" s="417">
        <f>(F555+G555)</f>
        <v>0</v>
      </c>
      <c r="I555" s="50">
        <f t="shared" si="119"/>
        <v>0</v>
      </c>
      <c r="J555" s="57">
        <f>I555*$P$22</f>
        <v>0</v>
      </c>
      <c r="K555" s="58">
        <f>I555-J555</f>
        <v>0</v>
      </c>
      <c r="L555" s="57">
        <f>K555*$P$5</f>
        <v>0</v>
      </c>
      <c r="M555" s="59">
        <f>K555+L555</f>
        <v>0</v>
      </c>
      <c r="N555" s="112">
        <f t="shared" si="156"/>
        <v>0</v>
      </c>
      <c r="O555" s="41">
        <f t="shared" si="157"/>
        <v>0</v>
      </c>
      <c r="P555" s="112">
        <f t="shared" si="158"/>
        <v>0</v>
      </c>
    </row>
    <row r="556" spans="1:16" ht="15.75" thickBot="1" x14ac:dyDescent="0.25">
      <c r="A556" s="320"/>
      <c r="B556" s="321"/>
      <c r="C556" s="309" t="e">
        <v>#N/A</v>
      </c>
      <c r="D556" s="328" t="s">
        <v>541</v>
      </c>
      <c r="E556" s="360"/>
      <c r="F556" s="387"/>
      <c r="G556" s="572"/>
      <c r="H556" s="440"/>
      <c r="I556" s="234"/>
      <c r="J556" s="234"/>
      <c r="K556" s="234"/>
      <c r="L556" s="234"/>
      <c r="M556" s="235"/>
      <c r="N556" s="112">
        <f t="shared" si="156"/>
        <v>0</v>
      </c>
      <c r="O556" s="41">
        <f t="shared" si="157"/>
        <v>0</v>
      </c>
      <c r="P556" s="112">
        <f t="shared" si="158"/>
        <v>0</v>
      </c>
    </row>
    <row r="557" spans="1:16" x14ac:dyDescent="0.2">
      <c r="A557" s="316">
        <v>99350188550</v>
      </c>
      <c r="B557" s="303" t="s">
        <v>577</v>
      </c>
      <c r="C557" s="309" t="s">
        <v>475</v>
      </c>
      <c r="D557" s="317" t="s">
        <v>648</v>
      </c>
      <c r="E557" s="441">
        <v>377.39720000000005</v>
      </c>
      <c r="F557" s="49"/>
      <c r="G557" s="542"/>
      <c r="H557" s="417">
        <f>(F557+G557)</f>
        <v>0</v>
      </c>
      <c r="I557" s="50">
        <f t="shared" si="119"/>
        <v>0</v>
      </c>
      <c r="J557" s="57">
        <f>I557*$P$22</f>
        <v>0</v>
      </c>
      <c r="K557" s="64">
        <f>I557-J557</f>
        <v>0</v>
      </c>
      <c r="L557" s="63">
        <f>K557*$P$5</f>
        <v>0</v>
      </c>
      <c r="M557" s="65">
        <f>K557+L557</f>
        <v>0</v>
      </c>
      <c r="N557" s="112">
        <f t="shared" si="156"/>
        <v>0</v>
      </c>
      <c r="O557" s="41">
        <f t="shared" si="157"/>
        <v>0</v>
      </c>
      <c r="P557" s="112">
        <f t="shared" si="158"/>
        <v>0</v>
      </c>
    </row>
    <row r="558" spans="1:16" x14ac:dyDescent="0.2">
      <c r="A558" s="316">
        <v>99350188548</v>
      </c>
      <c r="B558" s="303" t="s">
        <v>577</v>
      </c>
      <c r="C558" s="309" t="s">
        <v>475</v>
      </c>
      <c r="D558" s="317" t="s">
        <v>624</v>
      </c>
      <c r="E558" s="441">
        <v>1151.5288199999998</v>
      </c>
      <c r="F558" s="56"/>
      <c r="G558" s="543"/>
      <c r="H558" s="417">
        <f>(F558+G558)</f>
        <v>0</v>
      </c>
      <c r="I558" s="50">
        <f t="shared" si="119"/>
        <v>0</v>
      </c>
      <c r="J558" s="57">
        <f>I558*$P$22</f>
        <v>0</v>
      </c>
      <c r="K558" s="64">
        <f>I558-J558</f>
        <v>0</v>
      </c>
      <c r="L558" s="63">
        <f>K558*$P$5</f>
        <v>0</v>
      </c>
      <c r="M558" s="65">
        <f>K558+L558</f>
        <v>0</v>
      </c>
      <c r="N558" s="112">
        <f t="shared" si="156"/>
        <v>0</v>
      </c>
      <c r="O558" s="41">
        <f t="shared" si="157"/>
        <v>0</v>
      </c>
      <c r="P558" s="112">
        <f t="shared" si="158"/>
        <v>0</v>
      </c>
    </row>
    <row r="559" spans="1:16" x14ac:dyDescent="0.2">
      <c r="A559" s="318">
        <v>4015600056070</v>
      </c>
      <c r="B559" s="303" t="s">
        <v>577</v>
      </c>
      <c r="C559" s="309" t="s">
        <v>475</v>
      </c>
      <c r="D559" s="319" t="s">
        <v>647</v>
      </c>
      <c r="E559" s="441">
        <v>378.74529000000001</v>
      </c>
      <c r="F559" s="56"/>
      <c r="G559" s="543"/>
      <c r="H559" s="417">
        <f>(F559+G559)</f>
        <v>0</v>
      </c>
      <c r="I559" s="50">
        <f t="shared" ref="I559:I583" si="194">IF(C559="Faltante",0,E559*F559)</f>
        <v>0</v>
      </c>
      <c r="J559" s="57">
        <f>I559*$P$22</f>
        <v>0</v>
      </c>
      <c r="K559" s="64">
        <f>I559-J559</f>
        <v>0</v>
      </c>
      <c r="L559" s="63">
        <f>K559*$P$5</f>
        <v>0</v>
      </c>
      <c r="M559" s="65">
        <f>K559+L559</f>
        <v>0</v>
      </c>
      <c r="N559" s="112">
        <f t="shared" si="156"/>
        <v>0</v>
      </c>
      <c r="O559" s="41">
        <f t="shared" si="157"/>
        <v>0</v>
      </c>
      <c r="P559" s="112">
        <f t="shared" si="158"/>
        <v>0</v>
      </c>
    </row>
    <row r="560" spans="1:16" x14ac:dyDescent="0.2">
      <c r="A560" s="316">
        <v>4015600055769</v>
      </c>
      <c r="B560" s="303" t="s">
        <v>577</v>
      </c>
      <c r="C560" s="309" t="s">
        <v>475</v>
      </c>
      <c r="D560" s="317" t="s">
        <v>359</v>
      </c>
      <c r="E560" s="441">
        <v>401.35700000000003</v>
      </c>
      <c r="F560" s="56"/>
      <c r="G560" s="543"/>
      <c r="H560" s="417">
        <f>(F560+G560)</f>
        <v>0</v>
      </c>
      <c r="I560" s="50">
        <f t="shared" si="194"/>
        <v>0</v>
      </c>
      <c r="J560" s="57">
        <f>I560*$P$22</f>
        <v>0</v>
      </c>
      <c r="K560" s="64">
        <f>I560-J560</f>
        <v>0</v>
      </c>
      <c r="L560" s="63">
        <f>K560*$P$5</f>
        <v>0</v>
      </c>
      <c r="M560" s="65">
        <f>K560+L560</f>
        <v>0</v>
      </c>
      <c r="N560" s="112">
        <f t="shared" si="156"/>
        <v>0</v>
      </c>
      <c r="O560" s="41">
        <f t="shared" si="157"/>
        <v>0</v>
      </c>
      <c r="P560" s="112">
        <f t="shared" si="158"/>
        <v>0</v>
      </c>
    </row>
    <row r="561" spans="1:16" x14ac:dyDescent="0.2">
      <c r="A561" s="316">
        <v>4015600055950</v>
      </c>
      <c r="B561" s="303" t="s">
        <v>577</v>
      </c>
      <c r="C561" s="309" t="s">
        <v>475</v>
      </c>
      <c r="D561" s="317" t="s">
        <v>360</v>
      </c>
      <c r="E561" s="441">
        <v>378.00160499999993</v>
      </c>
      <c r="F561" s="56"/>
      <c r="G561" s="550"/>
      <c r="H561" s="417">
        <f>(F561+G561)</f>
        <v>0</v>
      </c>
      <c r="I561" s="50">
        <f t="shared" si="194"/>
        <v>0</v>
      </c>
      <c r="J561" s="57">
        <f>I561*$P$22</f>
        <v>0</v>
      </c>
      <c r="K561" s="64">
        <f>I561-J561</f>
        <v>0</v>
      </c>
      <c r="L561" s="63">
        <f>K561*$P$5</f>
        <v>0</v>
      </c>
      <c r="M561" s="65">
        <f>K561+L561</f>
        <v>0</v>
      </c>
      <c r="N561" s="112">
        <f t="shared" si="156"/>
        <v>0</v>
      </c>
      <c r="O561" s="41">
        <f t="shared" si="157"/>
        <v>0</v>
      </c>
      <c r="P561" s="112">
        <f t="shared" si="158"/>
        <v>0</v>
      </c>
    </row>
    <row r="562" spans="1:16" x14ac:dyDescent="0.2">
      <c r="A562" s="324">
        <v>99350188542</v>
      </c>
      <c r="B562" s="303" t="s">
        <v>577</v>
      </c>
      <c r="C562" s="309" t="s">
        <v>475</v>
      </c>
      <c r="D562" s="325" t="s">
        <v>682</v>
      </c>
      <c r="E562" s="441">
        <v>362.34000000000003</v>
      </c>
      <c r="F562" s="56"/>
      <c r="G562" s="543"/>
      <c r="H562" s="417">
        <f t="shared" ref="H562:H567" si="195">(F562+G562)</f>
        <v>0</v>
      </c>
      <c r="I562" s="50">
        <f t="shared" si="194"/>
        <v>0</v>
      </c>
      <c r="J562" s="57">
        <f t="shared" ref="J562:J567" si="196">I562*$P$22</f>
        <v>0</v>
      </c>
      <c r="K562" s="64">
        <f t="shared" ref="K562:K567" si="197">I562-J562</f>
        <v>0</v>
      </c>
      <c r="L562" s="63">
        <f t="shared" ref="L562:L567" si="198">K562*$P$5</f>
        <v>0</v>
      </c>
      <c r="M562" s="65">
        <f t="shared" ref="M562:M567" si="199">K562+L562</f>
        <v>0</v>
      </c>
      <c r="N562" s="112">
        <f t="shared" si="156"/>
        <v>0</v>
      </c>
      <c r="O562" s="41">
        <f t="shared" si="157"/>
        <v>0</v>
      </c>
      <c r="P562" s="112">
        <f t="shared" si="158"/>
        <v>0</v>
      </c>
    </row>
    <row r="563" spans="1:16" x14ac:dyDescent="0.2">
      <c r="A563" s="322">
        <v>4015600055639</v>
      </c>
      <c r="B563" s="303" t="s">
        <v>577</v>
      </c>
      <c r="C563" s="309" t="s">
        <v>475</v>
      </c>
      <c r="D563" s="323" t="s">
        <v>361</v>
      </c>
      <c r="E563" s="441">
        <v>272.8</v>
      </c>
      <c r="F563" s="56"/>
      <c r="G563" s="543"/>
      <c r="H563" s="417">
        <f t="shared" si="195"/>
        <v>0</v>
      </c>
      <c r="I563" s="50">
        <f t="shared" si="194"/>
        <v>0</v>
      </c>
      <c r="J563" s="57">
        <f t="shared" si="196"/>
        <v>0</v>
      </c>
      <c r="K563" s="64">
        <f t="shared" si="197"/>
        <v>0</v>
      </c>
      <c r="L563" s="63">
        <f t="shared" si="198"/>
        <v>0</v>
      </c>
      <c r="M563" s="65">
        <f t="shared" si="199"/>
        <v>0</v>
      </c>
      <c r="N563" s="112">
        <f t="shared" si="156"/>
        <v>0</v>
      </c>
      <c r="O563" s="41">
        <f t="shared" si="157"/>
        <v>0</v>
      </c>
      <c r="P563" s="112">
        <f t="shared" si="158"/>
        <v>0</v>
      </c>
    </row>
    <row r="564" spans="1:16" x14ac:dyDescent="0.2">
      <c r="A564" s="322">
        <v>99350189976</v>
      </c>
      <c r="B564" s="303" t="s">
        <v>577</v>
      </c>
      <c r="C564" s="309" t="s">
        <v>475</v>
      </c>
      <c r="D564" s="323" t="s">
        <v>683</v>
      </c>
      <c r="E564" s="441">
        <v>380.38000000000005</v>
      </c>
      <c r="F564" s="56"/>
      <c r="G564" s="543"/>
      <c r="H564" s="417">
        <f t="shared" si="195"/>
        <v>0</v>
      </c>
      <c r="I564" s="50">
        <f t="shared" si="194"/>
        <v>0</v>
      </c>
      <c r="J564" s="57">
        <f t="shared" si="196"/>
        <v>0</v>
      </c>
      <c r="K564" s="64">
        <f t="shared" si="197"/>
        <v>0</v>
      </c>
      <c r="L564" s="63">
        <f t="shared" si="198"/>
        <v>0</v>
      </c>
      <c r="M564" s="65">
        <f t="shared" si="199"/>
        <v>0</v>
      </c>
      <c r="N564" s="112">
        <f t="shared" si="156"/>
        <v>0</v>
      </c>
      <c r="O564" s="41">
        <f t="shared" si="157"/>
        <v>0</v>
      </c>
      <c r="P564" s="112">
        <f t="shared" si="158"/>
        <v>0</v>
      </c>
    </row>
    <row r="565" spans="1:16" x14ac:dyDescent="0.2">
      <c r="A565" s="316">
        <v>99240011194</v>
      </c>
      <c r="B565" s="303" t="s">
        <v>577</v>
      </c>
      <c r="C565" s="309" t="s">
        <v>475</v>
      </c>
      <c r="D565" s="317" t="s">
        <v>542</v>
      </c>
      <c r="E565" s="441">
        <v>283.26</v>
      </c>
      <c r="F565" s="56"/>
      <c r="G565" s="543"/>
      <c r="H565" s="417">
        <f t="shared" si="195"/>
        <v>0</v>
      </c>
      <c r="I565" s="50">
        <f t="shared" si="194"/>
        <v>0</v>
      </c>
      <c r="J565" s="57">
        <f t="shared" si="196"/>
        <v>0</v>
      </c>
      <c r="K565" s="64">
        <f t="shared" si="197"/>
        <v>0</v>
      </c>
      <c r="L565" s="63">
        <f t="shared" si="198"/>
        <v>0</v>
      </c>
      <c r="M565" s="65">
        <f t="shared" si="199"/>
        <v>0</v>
      </c>
      <c r="N565" s="112">
        <f t="shared" si="156"/>
        <v>0</v>
      </c>
      <c r="O565" s="41">
        <f t="shared" si="157"/>
        <v>0</v>
      </c>
      <c r="P565" s="112">
        <f t="shared" si="158"/>
        <v>0</v>
      </c>
    </row>
    <row r="566" spans="1:16" x14ac:dyDescent="0.2">
      <c r="A566" s="322">
        <v>4015600164263</v>
      </c>
      <c r="B566" s="303" t="s">
        <v>577</v>
      </c>
      <c r="C566" s="309" t="s">
        <v>475</v>
      </c>
      <c r="D566" s="323" t="s">
        <v>362</v>
      </c>
      <c r="E566" s="441">
        <v>336.49</v>
      </c>
      <c r="F566" s="56"/>
      <c r="G566" s="543"/>
      <c r="H566" s="417">
        <f t="shared" si="195"/>
        <v>0</v>
      </c>
      <c r="I566" s="50">
        <f t="shared" si="194"/>
        <v>0</v>
      </c>
      <c r="J566" s="57">
        <f t="shared" si="196"/>
        <v>0</v>
      </c>
      <c r="K566" s="64">
        <f t="shared" si="197"/>
        <v>0</v>
      </c>
      <c r="L566" s="63">
        <f t="shared" si="198"/>
        <v>0</v>
      </c>
      <c r="M566" s="65">
        <f t="shared" si="199"/>
        <v>0</v>
      </c>
      <c r="N566" s="112">
        <f t="shared" si="156"/>
        <v>0</v>
      </c>
      <c r="O566" s="41">
        <f t="shared" si="157"/>
        <v>0</v>
      </c>
      <c r="P566" s="112">
        <f t="shared" si="158"/>
        <v>0</v>
      </c>
    </row>
    <row r="567" spans="1:16" x14ac:dyDescent="0.2">
      <c r="A567" s="322">
        <v>99350178388</v>
      </c>
      <c r="B567" s="303" t="s">
        <v>577</v>
      </c>
      <c r="C567" s="309">
        <v>0</v>
      </c>
      <c r="D567" s="323" t="s">
        <v>626</v>
      </c>
      <c r="E567" s="441">
        <v>382.69584000000003</v>
      </c>
      <c r="F567" s="56"/>
      <c r="G567" s="543"/>
      <c r="H567" s="417">
        <f t="shared" si="195"/>
        <v>0</v>
      </c>
      <c r="I567" s="50">
        <f t="shared" si="194"/>
        <v>0</v>
      </c>
      <c r="J567" s="57">
        <f t="shared" si="196"/>
        <v>0</v>
      </c>
      <c r="K567" s="64">
        <f t="shared" si="197"/>
        <v>0</v>
      </c>
      <c r="L567" s="63">
        <f t="shared" si="198"/>
        <v>0</v>
      </c>
      <c r="M567" s="65">
        <f t="shared" si="199"/>
        <v>0</v>
      </c>
      <c r="N567" s="112">
        <f t="shared" si="156"/>
        <v>0</v>
      </c>
      <c r="O567" s="41">
        <f t="shared" si="157"/>
        <v>0</v>
      </c>
      <c r="P567" s="112">
        <f t="shared" si="158"/>
        <v>0</v>
      </c>
    </row>
    <row r="568" spans="1:16" x14ac:dyDescent="0.2">
      <c r="A568" s="316">
        <v>99350190564</v>
      </c>
      <c r="B568" s="303" t="s">
        <v>577</v>
      </c>
      <c r="C568" s="309" t="s">
        <v>475</v>
      </c>
      <c r="D568" s="317" t="s">
        <v>625</v>
      </c>
      <c r="E568" s="489">
        <v>548.66999999999996</v>
      </c>
      <c r="F568" s="56"/>
      <c r="G568" s="550"/>
      <c r="H568" s="417">
        <f>(F568+G568)</f>
        <v>0</v>
      </c>
      <c r="I568" s="50">
        <f t="shared" si="194"/>
        <v>0</v>
      </c>
      <c r="J568" s="57">
        <f>I568*$P$22</f>
        <v>0</v>
      </c>
      <c r="K568" s="64">
        <f>I568-J568</f>
        <v>0</v>
      </c>
      <c r="L568" s="63">
        <f>K568*$P$5</f>
        <v>0</v>
      </c>
      <c r="M568" s="65">
        <f>K568+L568</f>
        <v>0</v>
      </c>
      <c r="N568" s="112">
        <f t="shared" si="156"/>
        <v>0</v>
      </c>
      <c r="O568" s="41">
        <f t="shared" si="157"/>
        <v>0</v>
      </c>
      <c r="P568" s="112">
        <f t="shared" si="158"/>
        <v>0</v>
      </c>
    </row>
    <row r="569" spans="1:16" ht="15.75" thickBot="1" x14ac:dyDescent="0.25">
      <c r="A569" s="316">
        <v>99350188545</v>
      </c>
      <c r="B569" s="303" t="s">
        <v>577</v>
      </c>
      <c r="C569" s="309" t="s">
        <v>475</v>
      </c>
      <c r="D569" s="317" t="s">
        <v>684</v>
      </c>
      <c r="E569" s="441">
        <v>396.64549999999997</v>
      </c>
      <c r="F569" s="56"/>
      <c r="G569" s="543"/>
      <c r="H569" s="417">
        <f>(F569+G569)</f>
        <v>0</v>
      </c>
      <c r="I569" s="50">
        <f t="shared" si="194"/>
        <v>0</v>
      </c>
      <c r="J569" s="57">
        <f>I569*$P$22</f>
        <v>0</v>
      </c>
      <c r="K569" s="64">
        <f>I569-J569</f>
        <v>0</v>
      </c>
      <c r="L569" s="63">
        <f>K569*$P$5</f>
        <v>0</v>
      </c>
      <c r="M569" s="65">
        <f>K569+L569</f>
        <v>0</v>
      </c>
      <c r="N569" s="112">
        <f>E569*F569</f>
        <v>0</v>
      </c>
      <c r="O569" s="41">
        <f t="shared" si="157"/>
        <v>0</v>
      </c>
      <c r="P569" s="112">
        <f t="shared" si="158"/>
        <v>0</v>
      </c>
    </row>
    <row r="570" spans="1:16" ht="15.75" thickBot="1" x14ac:dyDescent="0.25">
      <c r="A570" s="338"/>
      <c r="B570" s="339"/>
      <c r="C570" s="309" t="e">
        <v>#N/A</v>
      </c>
      <c r="D570" s="340" t="s">
        <v>579</v>
      </c>
      <c r="E570" s="361"/>
      <c r="F570" s="358"/>
      <c r="G570" s="575"/>
      <c r="H570" s="361"/>
      <c r="I570" s="361"/>
      <c r="J570" s="361"/>
      <c r="K570" s="361"/>
      <c r="L570" s="361"/>
      <c r="M570" s="361"/>
      <c r="N570" s="112">
        <f t="shared" ref="N570:N583" si="200">E570*F570</f>
        <v>0</v>
      </c>
      <c r="O570" s="41">
        <f t="shared" ref="O570:O583" si="201">+N570*0.27</f>
        <v>0</v>
      </c>
      <c r="P570" s="112">
        <f t="shared" ref="P570:P583" si="202">+N570-O570</f>
        <v>0</v>
      </c>
    </row>
    <row r="571" spans="1:16" x14ac:dyDescent="0.2">
      <c r="A571" s="316">
        <v>99240010826</v>
      </c>
      <c r="B571" s="303" t="s">
        <v>577</v>
      </c>
      <c r="C571" s="309" t="s">
        <v>475</v>
      </c>
      <c r="D571" s="317" t="s">
        <v>580</v>
      </c>
      <c r="E571" s="441">
        <v>366.3</v>
      </c>
      <c r="F571" s="56"/>
      <c r="G571" s="543"/>
      <c r="H571" s="417">
        <f>(F571+G571)</f>
        <v>0</v>
      </c>
      <c r="I571" s="50">
        <f t="shared" si="194"/>
        <v>0</v>
      </c>
      <c r="J571" s="57">
        <f>I571*$P$22</f>
        <v>0</v>
      </c>
      <c r="K571" s="64">
        <f>I571-J571</f>
        <v>0</v>
      </c>
      <c r="L571" s="63">
        <f>K571*$P$5</f>
        <v>0</v>
      </c>
      <c r="M571" s="65">
        <f>K571+L571</f>
        <v>0</v>
      </c>
      <c r="N571" s="112">
        <f t="shared" si="200"/>
        <v>0</v>
      </c>
      <c r="O571" s="41">
        <f t="shared" si="201"/>
        <v>0</v>
      </c>
      <c r="P571" s="112">
        <f t="shared" si="202"/>
        <v>0</v>
      </c>
    </row>
    <row r="572" spans="1:16" ht="15.75" thickBot="1" x14ac:dyDescent="0.25">
      <c r="A572" s="316">
        <v>99240010878</v>
      </c>
      <c r="B572" s="303" t="s">
        <v>577</v>
      </c>
      <c r="C572" s="309" t="s">
        <v>475</v>
      </c>
      <c r="D572" s="317" t="s">
        <v>581</v>
      </c>
      <c r="E572" s="441">
        <v>318.08000000000004</v>
      </c>
      <c r="F572" s="56"/>
      <c r="G572" s="543"/>
      <c r="H572" s="417">
        <f>(F572+G572)</f>
        <v>0</v>
      </c>
      <c r="I572" s="50">
        <f t="shared" si="194"/>
        <v>0</v>
      </c>
      <c r="J572" s="57">
        <f>I572*$P$22</f>
        <v>0</v>
      </c>
      <c r="K572" s="64">
        <f>I572-J572</f>
        <v>0</v>
      </c>
      <c r="L572" s="63">
        <f>K572*$P$5</f>
        <v>0</v>
      </c>
      <c r="M572" s="65">
        <f>K572+L572</f>
        <v>0</v>
      </c>
      <c r="N572" s="112">
        <f t="shared" si="200"/>
        <v>0</v>
      </c>
      <c r="O572" s="41">
        <f t="shared" si="201"/>
        <v>0</v>
      </c>
      <c r="P572" s="112">
        <f t="shared" si="202"/>
        <v>0</v>
      </c>
    </row>
    <row r="573" spans="1:16" ht="14.85" hidden="1" customHeight="1" thickBot="1" x14ac:dyDescent="0.25">
      <c r="A573" s="103"/>
      <c r="B573" s="104"/>
      <c r="C573" s="309" t="e">
        <v>#N/A</v>
      </c>
      <c r="D573" s="105" t="s">
        <v>436</v>
      </c>
      <c r="E573" s="362"/>
      <c r="F573" s="359"/>
      <c r="G573" s="359"/>
      <c r="H573" s="362"/>
      <c r="I573" s="362" t="e">
        <f t="shared" si="194"/>
        <v>#N/A</v>
      </c>
      <c r="J573" s="362"/>
      <c r="K573" s="362"/>
      <c r="L573" s="362"/>
      <c r="M573" s="362"/>
      <c r="N573" s="112">
        <f t="shared" si="200"/>
        <v>0</v>
      </c>
      <c r="O573" s="41">
        <f t="shared" si="201"/>
        <v>0</v>
      </c>
      <c r="P573" s="112">
        <f t="shared" si="202"/>
        <v>0</v>
      </c>
    </row>
    <row r="574" spans="1:16" ht="14.85" hidden="1" customHeight="1" x14ac:dyDescent="0.2">
      <c r="A574" s="232" t="s">
        <v>437</v>
      </c>
      <c r="B574" s="10"/>
      <c r="C574" s="309" t="e">
        <v>#N/A</v>
      </c>
      <c r="D574" s="233" t="s">
        <v>438</v>
      </c>
      <c r="E574" s="52">
        <v>652.95471999999995</v>
      </c>
      <c r="F574" s="56"/>
      <c r="G574" s="264"/>
      <c r="H574" s="417">
        <f>(F574+G574)</f>
        <v>0</v>
      </c>
      <c r="I574" s="50" t="e">
        <f t="shared" si="194"/>
        <v>#N/A</v>
      </c>
      <c r="J574" s="57"/>
      <c r="K574" s="64"/>
      <c r="L574" s="63"/>
      <c r="M574" s="65"/>
      <c r="N574" s="112">
        <f t="shared" si="200"/>
        <v>0</v>
      </c>
      <c r="O574" s="41">
        <f t="shared" si="201"/>
        <v>0</v>
      </c>
      <c r="P574" s="112">
        <f t="shared" si="202"/>
        <v>0</v>
      </c>
    </row>
    <row r="575" spans="1:16" ht="14.85" hidden="1" customHeight="1" x14ac:dyDescent="0.2">
      <c r="A575" s="232" t="s">
        <v>441</v>
      </c>
      <c r="B575" s="10"/>
      <c r="C575" s="309" t="e">
        <v>#N/A</v>
      </c>
      <c r="D575" s="233" t="s">
        <v>442</v>
      </c>
      <c r="E575" s="52">
        <v>779.38</v>
      </c>
      <c r="F575" s="56"/>
      <c r="G575" s="264"/>
      <c r="H575" s="417">
        <f>(F575+G575)</f>
        <v>0</v>
      </c>
      <c r="I575" s="50" t="e">
        <f t="shared" si="194"/>
        <v>#N/A</v>
      </c>
      <c r="J575" s="57"/>
      <c r="K575" s="64"/>
      <c r="L575" s="63"/>
      <c r="M575" s="65"/>
      <c r="N575" s="112">
        <f t="shared" si="200"/>
        <v>0</v>
      </c>
      <c r="O575" s="41">
        <f t="shared" si="201"/>
        <v>0</v>
      </c>
      <c r="P575" s="112">
        <f t="shared" si="202"/>
        <v>0</v>
      </c>
    </row>
    <row r="576" spans="1:16" ht="14.85" hidden="1" customHeight="1" thickBot="1" x14ac:dyDescent="0.25">
      <c r="A576" s="261" t="s">
        <v>439</v>
      </c>
      <c r="B576" s="10"/>
      <c r="C576" s="309" t="e">
        <v>#N/A</v>
      </c>
      <c r="D576" s="262" t="s">
        <v>440</v>
      </c>
      <c r="E576" s="52">
        <v>731.95100000000002</v>
      </c>
      <c r="F576" s="56"/>
      <c r="G576" s="264"/>
      <c r="H576" s="417">
        <f>(F576+G576)</f>
        <v>0</v>
      </c>
      <c r="I576" s="50" t="e">
        <f t="shared" si="194"/>
        <v>#N/A</v>
      </c>
      <c r="J576" s="57"/>
      <c r="K576" s="64"/>
      <c r="L576" s="63"/>
      <c r="M576" s="65"/>
      <c r="N576" s="112">
        <f t="shared" si="200"/>
        <v>0</v>
      </c>
      <c r="O576" s="41">
        <f t="shared" si="201"/>
        <v>0</v>
      </c>
      <c r="P576" s="112">
        <f t="shared" si="202"/>
        <v>0</v>
      </c>
    </row>
    <row r="577" spans="1:16" ht="14.85" customHeight="1" thickBot="1" x14ac:dyDescent="0.25">
      <c r="A577" s="103"/>
      <c r="B577" s="104"/>
      <c r="C577" s="47"/>
      <c r="D577" s="105" t="s">
        <v>372</v>
      </c>
      <c r="E577" s="362"/>
      <c r="F577" s="388"/>
      <c r="G577" s="478"/>
      <c r="H577" s="238"/>
      <c r="I577" s="238"/>
      <c r="J577" s="238"/>
      <c r="K577" s="238"/>
      <c r="L577" s="238"/>
      <c r="M577" s="239"/>
      <c r="N577" s="112">
        <f t="shared" si="200"/>
        <v>0</v>
      </c>
      <c r="O577" s="41">
        <f t="shared" si="201"/>
        <v>0</v>
      </c>
      <c r="P577" s="112">
        <f t="shared" si="202"/>
        <v>0</v>
      </c>
    </row>
    <row r="578" spans="1:16" x14ac:dyDescent="0.2">
      <c r="A578" s="54" t="s">
        <v>373</v>
      </c>
      <c r="B578" s="10" t="s">
        <v>48</v>
      </c>
      <c r="C578" s="47"/>
      <c r="D578" s="55" t="s">
        <v>374</v>
      </c>
      <c r="E578" s="52">
        <v>500</v>
      </c>
      <c r="F578" s="56"/>
      <c r="G578" s="267"/>
      <c r="H578" s="417">
        <f t="shared" ref="H578:H583" si="203">(F578+G578)</f>
        <v>0</v>
      </c>
      <c r="I578" s="237">
        <f t="shared" si="194"/>
        <v>0</v>
      </c>
      <c r="J578" s="57"/>
      <c r="K578" s="58">
        <f t="shared" ref="K578:K583" si="204">I578-J578</f>
        <v>0</v>
      </c>
      <c r="L578" s="57">
        <f t="shared" ref="L578:L583" si="205">K578*$P$5</f>
        <v>0</v>
      </c>
      <c r="M578" s="59">
        <f t="shared" ref="M578:M583" si="206">K578+L578</f>
        <v>0</v>
      </c>
      <c r="N578" s="112">
        <f t="shared" si="200"/>
        <v>0</v>
      </c>
      <c r="O578" s="41">
        <f t="shared" si="201"/>
        <v>0</v>
      </c>
      <c r="P578" s="112">
        <f t="shared" si="202"/>
        <v>0</v>
      </c>
    </row>
    <row r="579" spans="1:16" x14ac:dyDescent="0.2">
      <c r="A579" s="306" t="s">
        <v>531</v>
      </c>
      <c r="B579" s="303" t="s">
        <v>48</v>
      </c>
      <c r="C579" s="47"/>
      <c r="D579" s="307" t="s">
        <v>532</v>
      </c>
      <c r="E579" s="52">
        <v>600</v>
      </c>
      <c r="F579" s="56"/>
      <c r="G579" s="267"/>
      <c r="H579" s="417">
        <f t="shared" si="203"/>
        <v>0</v>
      </c>
      <c r="I579" s="237">
        <f t="shared" si="194"/>
        <v>0</v>
      </c>
      <c r="J579" s="57">
        <v>0</v>
      </c>
      <c r="K579" s="58">
        <f t="shared" si="204"/>
        <v>0</v>
      </c>
      <c r="L579" s="57">
        <f t="shared" si="205"/>
        <v>0</v>
      </c>
      <c r="M579" s="59">
        <f t="shared" si="206"/>
        <v>0</v>
      </c>
      <c r="N579" s="112">
        <f t="shared" si="200"/>
        <v>0</v>
      </c>
      <c r="O579" s="41">
        <f t="shared" si="201"/>
        <v>0</v>
      </c>
      <c r="P579" s="112">
        <f t="shared" si="202"/>
        <v>0</v>
      </c>
    </row>
    <row r="580" spans="1:16" x14ac:dyDescent="0.2">
      <c r="A580" s="306" t="s">
        <v>533</v>
      </c>
      <c r="B580" s="303" t="s">
        <v>48</v>
      </c>
      <c r="C580" s="10"/>
      <c r="D580" s="307" t="s">
        <v>534</v>
      </c>
      <c r="E580" s="52">
        <v>800</v>
      </c>
      <c r="F580" s="56"/>
      <c r="G580" s="267"/>
      <c r="H580" s="417">
        <f t="shared" si="203"/>
        <v>0</v>
      </c>
      <c r="I580" s="237">
        <f t="shared" si="194"/>
        <v>0</v>
      </c>
      <c r="J580" s="57"/>
      <c r="K580" s="58">
        <f t="shared" si="204"/>
        <v>0</v>
      </c>
      <c r="L580" s="57">
        <f t="shared" si="205"/>
        <v>0</v>
      </c>
      <c r="M580" s="59">
        <f t="shared" si="206"/>
        <v>0</v>
      </c>
      <c r="N580" s="112">
        <f t="shared" si="200"/>
        <v>0</v>
      </c>
      <c r="O580" s="41">
        <f t="shared" si="201"/>
        <v>0</v>
      </c>
      <c r="P580" s="112">
        <f t="shared" si="202"/>
        <v>0</v>
      </c>
    </row>
    <row r="581" spans="1:16" hidden="1" x14ac:dyDescent="0.2">
      <c r="A581" s="47" t="s">
        <v>476</v>
      </c>
      <c r="B581" s="10" t="s">
        <v>48</v>
      </c>
      <c r="C581" s="47"/>
      <c r="D581" s="48" t="s">
        <v>477</v>
      </c>
      <c r="E581" s="52">
        <v>650</v>
      </c>
      <c r="F581" s="56"/>
      <c r="G581" s="267"/>
      <c r="H581" s="417">
        <f t="shared" si="203"/>
        <v>0</v>
      </c>
      <c r="I581" s="237">
        <f t="shared" si="194"/>
        <v>0</v>
      </c>
      <c r="J581" s="57">
        <v>0</v>
      </c>
      <c r="K581" s="58">
        <f t="shared" si="204"/>
        <v>0</v>
      </c>
      <c r="L581" s="57">
        <f t="shared" si="205"/>
        <v>0</v>
      </c>
      <c r="M581" s="59">
        <f t="shared" si="206"/>
        <v>0</v>
      </c>
      <c r="N581" s="112">
        <f t="shared" si="200"/>
        <v>0</v>
      </c>
      <c r="O581" s="41">
        <f t="shared" si="201"/>
        <v>0</v>
      </c>
      <c r="P581" s="112">
        <f t="shared" si="202"/>
        <v>0</v>
      </c>
    </row>
    <row r="582" spans="1:16" x14ac:dyDescent="0.2">
      <c r="A582" s="309" t="s">
        <v>688</v>
      </c>
      <c r="B582" s="303" t="s">
        <v>48</v>
      </c>
      <c r="C582" s="309"/>
      <c r="D582" s="310" t="s">
        <v>689</v>
      </c>
      <c r="E582" s="52">
        <v>600</v>
      </c>
      <c r="F582" s="56"/>
      <c r="G582" s="267"/>
      <c r="H582" s="417">
        <f t="shared" si="203"/>
        <v>0</v>
      </c>
      <c r="I582" s="237">
        <f t="shared" si="194"/>
        <v>0</v>
      </c>
      <c r="J582" s="57"/>
      <c r="K582" s="58">
        <f t="shared" si="204"/>
        <v>0</v>
      </c>
      <c r="L582" s="57">
        <f t="shared" si="205"/>
        <v>0</v>
      </c>
      <c r="M582" s="59">
        <f t="shared" si="206"/>
        <v>0</v>
      </c>
      <c r="N582" s="112">
        <f t="shared" si="200"/>
        <v>0</v>
      </c>
      <c r="O582" s="41">
        <f t="shared" si="201"/>
        <v>0</v>
      </c>
      <c r="P582" s="112">
        <f t="shared" si="202"/>
        <v>0</v>
      </c>
    </row>
    <row r="583" spans="1:16" x14ac:dyDescent="0.2">
      <c r="A583" s="47" t="s">
        <v>478</v>
      </c>
      <c r="B583" s="10" t="s">
        <v>48</v>
      </c>
      <c r="C583" s="47"/>
      <c r="D583" s="48" t="s">
        <v>479</v>
      </c>
      <c r="E583" s="52">
        <v>600</v>
      </c>
      <c r="F583" s="56"/>
      <c r="G583" s="267"/>
      <c r="H583" s="417">
        <f t="shared" si="203"/>
        <v>0</v>
      </c>
      <c r="I583" s="237">
        <f t="shared" si="194"/>
        <v>0</v>
      </c>
      <c r="J583" s="57"/>
      <c r="K583" s="58">
        <f t="shared" si="204"/>
        <v>0</v>
      </c>
      <c r="L583" s="57">
        <f t="shared" si="205"/>
        <v>0</v>
      </c>
      <c r="M583" s="59">
        <f t="shared" si="206"/>
        <v>0</v>
      </c>
      <c r="N583" s="112">
        <f t="shared" si="200"/>
        <v>0</v>
      </c>
      <c r="O583" s="41">
        <f t="shared" si="201"/>
        <v>0</v>
      </c>
      <c r="P583" s="112">
        <f t="shared" si="202"/>
        <v>0</v>
      </c>
    </row>
    <row r="584" spans="1:16" ht="15.75" thickBot="1" x14ac:dyDescent="0.25">
      <c r="A584" s="47" t="s">
        <v>480</v>
      </c>
      <c r="B584" s="10" t="s">
        <v>48</v>
      </c>
      <c r="C584" s="47"/>
      <c r="D584" s="48" t="s">
        <v>481</v>
      </c>
      <c r="E584" s="52"/>
      <c r="F584" s="389"/>
      <c r="G584" s="280"/>
      <c r="H584" s="281"/>
      <c r="I584" s="282"/>
      <c r="J584" s="282"/>
      <c r="K584" s="282"/>
      <c r="L584" s="282"/>
      <c r="M584" s="283"/>
      <c r="N584" s="236"/>
      <c r="O584" s="41"/>
      <c r="P584" s="112">
        <f>SUM(P525:P583)</f>
        <v>0</v>
      </c>
    </row>
    <row r="585" spans="1:16" ht="15.75" thickBot="1" x14ac:dyDescent="0.25">
      <c r="A585" s="258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60"/>
    </row>
    <row r="586" spans="1:16" ht="15.75" thickBot="1" x14ac:dyDescent="0.25">
      <c r="A586" s="240" t="s">
        <v>443</v>
      </c>
      <c r="B586" s="240"/>
      <c r="C586" s="241"/>
      <c r="D586" s="249" t="s">
        <v>652</v>
      </c>
      <c r="E586" s="273"/>
      <c r="F586" s="341">
        <f>IF(AND(H587&gt;0,(N586+(IF(H591&gt;0,H591*30000,0)*-1))&gt;=H587*18000),H587*18000,0)</f>
        <v>0</v>
      </c>
      <c r="G586" s="475"/>
      <c r="H586" s="273"/>
      <c r="I586" s="445">
        <f>F586</f>
        <v>0</v>
      </c>
      <c r="J586" s="587" t="str">
        <f>IF(AND(H587&gt;0,F586&gt;=18000,(SUM(G32:G383)+IF(G592&gt;0,G592*-1,0))=G588,G588&gt;0),"PZAS PROMOCIONALES CORRECTAS","NO CUMPLE CON PZAS EN PROMOCION")</f>
        <v>NO CUMPLE CON PZAS EN PROMOCION</v>
      </c>
      <c r="K586" s="588"/>
      <c r="L586" s="588"/>
      <c r="M586" s="589"/>
      <c r="N586" s="522">
        <f>(SUM(K363:K371)+SUM(K373:K376)+SUM(K378:K383)+SUM(K32:K353))</f>
        <v>0</v>
      </c>
    </row>
    <row r="587" spans="1:16" ht="16.350000000000001" customHeight="1" thickBot="1" x14ac:dyDescent="0.25">
      <c r="A587" s="242" t="str">
        <f>+A586</f>
        <v>W2023WED0000</v>
      </c>
      <c r="B587" s="10" t="s">
        <v>48</v>
      </c>
      <c r="C587" s="243"/>
      <c r="D587" s="248" t="s">
        <v>375</v>
      </c>
      <c r="E587" s="242"/>
      <c r="F587" s="476"/>
      <c r="G587" s="523">
        <f>IF(G588&gt;0,H587,0)</f>
        <v>0</v>
      </c>
      <c r="H587" s="524">
        <v>0</v>
      </c>
      <c r="I587" s="461" t="s">
        <v>597</v>
      </c>
      <c r="J587" s="246"/>
      <c r="K587" s="344"/>
      <c r="L587" s="345"/>
      <c r="M587" s="346"/>
    </row>
    <row r="588" spans="1:16" ht="16.350000000000001" customHeight="1" x14ac:dyDescent="0.2">
      <c r="A588" s="242"/>
      <c r="B588" s="347"/>
      <c r="C588" s="243"/>
      <c r="D588" s="446" t="s">
        <v>631</v>
      </c>
      <c r="E588" s="242"/>
      <c r="F588" s="476"/>
      <c r="G588" s="523">
        <f>IF(AND(H587&gt;0,F586&gt;0,N586&gt;=H587*18000),H587*15,0)</f>
        <v>0</v>
      </c>
      <c r="H588" s="247"/>
      <c r="I588" s="247"/>
      <c r="J588" s="246"/>
      <c r="K588" s="344"/>
      <c r="L588" s="345"/>
      <c r="M588" s="344"/>
    </row>
    <row r="589" spans="1:16" ht="15.75" thickBot="1" x14ac:dyDescent="0.25">
      <c r="A589" s="242" t="s">
        <v>690</v>
      </c>
      <c r="B589" s="10" t="s">
        <v>48</v>
      </c>
      <c r="C589" s="243"/>
      <c r="D589" s="348" t="s">
        <v>653</v>
      </c>
      <c r="E589" s="242"/>
      <c r="F589" s="476"/>
      <c r="G589" s="523">
        <f>IF(G588&gt;0,H587*15,0)</f>
        <v>0</v>
      </c>
      <c r="H589" s="247"/>
      <c r="I589" s="247"/>
      <c r="J589" s="247"/>
      <c r="K589" s="247"/>
      <c r="L589" s="247"/>
      <c r="M589" s="247"/>
    </row>
    <row r="590" spans="1:16" ht="15.75" thickBot="1" x14ac:dyDescent="0.25">
      <c r="A590" s="240" t="s">
        <v>444</v>
      </c>
      <c r="B590" s="240"/>
      <c r="C590" s="241"/>
      <c r="D590" s="249" t="s">
        <v>654</v>
      </c>
      <c r="E590" s="273"/>
      <c r="F590" s="341">
        <f>IF(AND(H591&gt;0,(N586+(IF(H587&gt;0,H587*18000,0)*-1))&gt;=H591*30000),H591*30000,0)</f>
        <v>0</v>
      </c>
      <c r="G590" s="475"/>
      <c r="H590" s="273"/>
      <c r="I590" s="445">
        <f>F590</f>
        <v>0</v>
      </c>
      <c r="J590" s="587" t="str">
        <f>IF(AND(H591&gt;0,F590&gt;=30000,(SUM(G32:G383)+IF(G588&gt;0,G588*-1,0))=G592,G592&gt;0),"PZAS PROMOCIONALES CORRECTAS","NO CUMPLE CON PZAS EN PROMOCION")</f>
        <v>NO CUMPLE CON PZAS EN PROMOCION</v>
      </c>
      <c r="K590" s="588"/>
      <c r="L590" s="588"/>
      <c r="M590" s="589"/>
    </row>
    <row r="591" spans="1:16" ht="16.350000000000001" customHeight="1" thickBot="1" x14ac:dyDescent="0.25">
      <c r="A591" s="242" t="str">
        <f>+A590</f>
        <v>W2023WED0001</v>
      </c>
      <c r="B591" s="10" t="s">
        <v>48</v>
      </c>
      <c r="C591" s="243"/>
      <c r="D591" s="248" t="s">
        <v>375</v>
      </c>
      <c r="E591" s="242"/>
      <c r="F591" s="476"/>
      <c r="G591" s="523">
        <f>IF(G592&gt;0,H591,0)</f>
        <v>0</v>
      </c>
      <c r="H591" s="524">
        <v>0</v>
      </c>
      <c r="I591" s="461" t="s">
        <v>597</v>
      </c>
      <c r="J591" s="246"/>
      <c r="K591" s="344"/>
      <c r="L591" s="345"/>
      <c r="M591" s="346"/>
    </row>
    <row r="592" spans="1:16" ht="16.350000000000001" customHeight="1" x14ac:dyDescent="0.2">
      <c r="A592" s="242"/>
      <c r="B592" s="347"/>
      <c r="C592" s="243"/>
      <c r="D592" s="446" t="s">
        <v>631</v>
      </c>
      <c r="E592" s="242"/>
      <c r="F592" s="476"/>
      <c r="G592" s="523">
        <f>IF(AND(H591&gt;0,N586&gt;=H591*30000),H591*25,0)</f>
        <v>0</v>
      </c>
      <c r="H592" s="247"/>
      <c r="I592" s="247"/>
      <c r="J592" s="246"/>
      <c r="K592" s="344"/>
      <c r="L592" s="345"/>
      <c r="M592" s="344"/>
    </row>
    <row r="593" spans="1:13" x14ac:dyDescent="0.2">
      <c r="A593" s="242" t="s">
        <v>690</v>
      </c>
      <c r="B593" s="10" t="s">
        <v>48</v>
      </c>
      <c r="C593" s="243"/>
      <c r="D593" s="348" t="s">
        <v>653</v>
      </c>
      <c r="E593" s="242"/>
      <c r="F593" s="476"/>
      <c r="G593" s="523">
        <f>IF(G592&gt;0,H591*2,0)</f>
        <v>0</v>
      </c>
      <c r="H593" s="247"/>
      <c r="I593" s="247"/>
      <c r="J593" s="247"/>
      <c r="K593" s="247"/>
      <c r="L593" s="247"/>
      <c r="M593" s="247"/>
    </row>
    <row r="594" spans="1:13" x14ac:dyDescent="0.2">
      <c r="A594" s="240" t="s">
        <v>459</v>
      </c>
      <c r="B594" s="240"/>
      <c r="C594" s="241"/>
      <c r="D594" s="249" t="s">
        <v>632</v>
      </c>
      <c r="E594" s="273"/>
      <c r="F594" s="349"/>
      <c r="G594" s="475"/>
      <c r="H594" s="273"/>
      <c r="I594" s="445">
        <f>F596</f>
        <v>0</v>
      </c>
      <c r="J594" s="583" t="str">
        <f>IF(AND(F596&gt;=48,F596&lt;=240,I596&gt;0),"PZAS PROMOCIONALES CORRECTAS","NO CUMPLE CON PZAS EN PROMOCION")</f>
        <v>NO CUMPLE CON PZAS EN PROMOCION</v>
      </c>
      <c r="K594" s="584"/>
      <c r="L594" s="584"/>
      <c r="M594" s="585"/>
    </row>
    <row r="595" spans="1:13" ht="16.350000000000001" customHeight="1" x14ac:dyDescent="0.2">
      <c r="A595" s="242" t="str">
        <f>+A594</f>
        <v>W2023WED0002</v>
      </c>
      <c r="B595" s="10" t="s">
        <v>48</v>
      </c>
      <c r="C595" s="243"/>
      <c r="D595" s="248" t="s">
        <v>375</v>
      </c>
      <c r="E595" s="244"/>
      <c r="F595" s="245"/>
      <c r="G595" s="284">
        <f>IF(AND(F596&gt;=48,F596&lt;=240),1,0)</f>
        <v>0</v>
      </c>
      <c r="H595" s="247"/>
      <c r="I595" s="247"/>
      <c r="J595" s="246"/>
      <c r="K595" s="344"/>
      <c r="L595" s="345"/>
      <c r="M595" s="346"/>
    </row>
    <row r="596" spans="1:13" x14ac:dyDescent="0.2">
      <c r="A596" s="242">
        <v>4015600092689</v>
      </c>
      <c r="B596" s="347" t="s">
        <v>36</v>
      </c>
      <c r="C596" s="243"/>
      <c r="D596" s="350" t="s">
        <v>583</v>
      </c>
      <c r="E596" s="351">
        <v>565</v>
      </c>
      <c r="F596" s="352">
        <v>0</v>
      </c>
      <c r="G596" s="284"/>
      <c r="H596" s="247"/>
      <c r="I596" s="353">
        <f>IF(AND(F596&gt;=48,F596&lt;=240),E596*F596,0)</f>
        <v>0</v>
      </c>
      <c r="J596" s="354"/>
      <c r="K596" s="355">
        <f>I596-J596</f>
        <v>0</v>
      </c>
      <c r="L596" s="354">
        <f>K596*$P$5</f>
        <v>0</v>
      </c>
      <c r="M596" s="355">
        <f>K596+L596</f>
        <v>0</v>
      </c>
    </row>
    <row r="597" spans="1:13" ht="12" customHeight="1" x14ac:dyDescent="0.2">
      <c r="A597" s="240" t="s">
        <v>460</v>
      </c>
      <c r="B597" s="240"/>
      <c r="C597" s="241"/>
      <c r="D597" s="249" t="s">
        <v>633</v>
      </c>
      <c r="E597" s="273"/>
      <c r="F597" s="349"/>
      <c r="G597" s="475"/>
      <c r="H597" s="273"/>
      <c r="I597" s="445">
        <f>F599</f>
        <v>0</v>
      </c>
      <c r="J597" s="583" t="str">
        <f>IF(AND(F599&gt;=246,F599&lt;=360,I599&gt;0),"PZAS PROMOCIONALES CORRECTAS","NO CUMPLE CON PZAS EN PROMOCION")</f>
        <v>NO CUMPLE CON PZAS EN PROMOCION</v>
      </c>
      <c r="K597" s="584"/>
      <c r="L597" s="584"/>
      <c r="M597" s="585"/>
    </row>
    <row r="598" spans="1:13" ht="16.350000000000001" customHeight="1" x14ac:dyDescent="0.2">
      <c r="A598" s="242" t="str">
        <f>+A597</f>
        <v>W2023WED0003</v>
      </c>
      <c r="B598" s="10" t="s">
        <v>48</v>
      </c>
      <c r="C598" s="243"/>
      <c r="D598" s="248" t="s">
        <v>375</v>
      </c>
      <c r="E598" s="244"/>
      <c r="F598" s="245"/>
      <c r="G598" s="284">
        <f>IF(AND(F599&gt;=246,F599&lt;=360),1,0)</f>
        <v>0</v>
      </c>
      <c r="H598" s="247"/>
      <c r="I598" s="247"/>
      <c r="J598" s="246"/>
      <c r="K598" s="344"/>
      <c r="L598" s="345"/>
      <c r="M598" s="346"/>
    </row>
    <row r="599" spans="1:13" x14ac:dyDescent="0.2">
      <c r="A599" s="242">
        <v>4015600092689</v>
      </c>
      <c r="B599" s="347" t="s">
        <v>36</v>
      </c>
      <c r="C599" s="243"/>
      <c r="D599" s="350" t="s">
        <v>583</v>
      </c>
      <c r="E599" s="351">
        <v>545</v>
      </c>
      <c r="F599" s="352">
        <v>0</v>
      </c>
      <c r="G599" s="284"/>
      <c r="H599" s="247"/>
      <c r="I599" s="353">
        <f>IF(AND(F599&gt;=246,F599&lt;=360),E599*F599,0)</f>
        <v>0</v>
      </c>
      <c r="J599" s="354"/>
      <c r="K599" s="355">
        <f>I599-J599</f>
        <v>0</v>
      </c>
      <c r="L599" s="354">
        <f>K599*$P$5</f>
        <v>0</v>
      </c>
      <c r="M599" s="355">
        <f>K599+L599</f>
        <v>0</v>
      </c>
    </row>
    <row r="600" spans="1:13" x14ac:dyDescent="0.2">
      <c r="A600" s="240" t="s">
        <v>514</v>
      </c>
      <c r="B600" s="240"/>
      <c r="C600" s="241"/>
      <c r="D600" s="249" t="s">
        <v>634</v>
      </c>
      <c r="E600" s="273"/>
      <c r="F600" s="349"/>
      <c r="G600" s="475"/>
      <c r="H600" s="273"/>
      <c r="I600" s="445">
        <f>F602</f>
        <v>0</v>
      </c>
      <c r="J600" s="583" t="str">
        <f>IF(AND(F602&gt;=366,I602&gt;0),"PZAS PROMOCIONALES CORRECTAS","NO CUMPLE CON PZAS EN PROMOCION")</f>
        <v>NO CUMPLE CON PZAS EN PROMOCION</v>
      </c>
      <c r="K600" s="584"/>
      <c r="L600" s="584"/>
      <c r="M600" s="585"/>
    </row>
    <row r="601" spans="1:13" ht="16.350000000000001" customHeight="1" x14ac:dyDescent="0.2">
      <c r="A601" s="242" t="str">
        <f>+A600</f>
        <v>W2023WED0004</v>
      </c>
      <c r="B601" s="10" t="s">
        <v>48</v>
      </c>
      <c r="C601" s="243"/>
      <c r="D601" s="248" t="s">
        <v>375</v>
      </c>
      <c r="E601" s="244"/>
      <c r="F601" s="245"/>
      <c r="G601" s="284">
        <f>IF(AND(F602&gt;=366),1,0)</f>
        <v>0</v>
      </c>
      <c r="H601" s="247"/>
      <c r="I601" s="247"/>
      <c r="J601" s="246"/>
      <c r="K601" s="344"/>
      <c r="L601" s="345"/>
      <c r="M601" s="346"/>
    </row>
    <row r="602" spans="1:13" x14ac:dyDescent="0.2">
      <c r="A602" s="242">
        <v>4015600092689</v>
      </c>
      <c r="B602" s="347" t="s">
        <v>36</v>
      </c>
      <c r="C602" s="243"/>
      <c r="D602" s="350" t="s">
        <v>583</v>
      </c>
      <c r="E602" s="351">
        <v>525</v>
      </c>
      <c r="F602" s="352">
        <v>0</v>
      </c>
      <c r="G602" s="284"/>
      <c r="H602" s="247"/>
      <c r="I602" s="353">
        <f>IF(AND(F602&gt;=366),E602*F602,0)</f>
        <v>0</v>
      </c>
      <c r="J602" s="354"/>
      <c r="K602" s="355">
        <f>I602-J602</f>
        <v>0</v>
      </c>
      <c r="L602" s="354">
        <f>K602*$P$5</f>
        <v>0</v>
      </c>
      <c r="M602" s="355">
        <f>K602+L602</f>
        <v>0</v>
      </c>
    </row>
    <row r="603" spans="1:13" x14ac:dyDescent="0.2">
      <c r="A603" s="240" t="s">
        <v>515</v>
      </c>
      <c r="B603" s="240"/>
      <c r="C603" s="241"/>
      <c r="D603" s="249" t="s">
        <v>635</v>
      </c>
      <c r="E603" s="273"/>
      <c r="F603" s="349"/>
      <c r="G603" s="475"/>
      <c r="H603" s="273"/>
      <c r="I603" s="445">
        <f>F605</f>
        <v>0</v>
      </c>
      <c r="J603" s="583" t="str">
        <f>IF(AND(F605&gt;=32,F605&lt;=160,I605&gt;0),"PZAS PROMOCIONALES CORRECTAS","NO CUMPLE CON PZAS EN PROMOCION")</f>
        <v>NO CUMPLE CON PZAS EN PROMOCION</v>
      </c>
      <c r="K603" s="584"/>
      <c r="L603" s="584"/>
      <c r="M603" s="585"/>
    </row>
    <row r="604" spans="1:13" ht="16.350000000000001" customHeight="1" x14ac:dyDescent="0.2">
      <c r="A604" s="242" t="str">
        <f>+A603</f>
        <v>W2023WED0005</v>
      </c>
      <c r="B604" s="10" t="s">
        <v>48</v>
      </c>
      <c r="C604" s="243"/>
      <c r="D604" s="248" t="s">
        <v>375</v>
      </c>
      <c r="E604" s="244"/>
      <c r="F604" s="245"/>
      <c r="G604" s="284">
        <f>IF(AND(F605&gt;=32,F605&lt;=160),1,0)</f>
        <v>0</v>
      </c>
      <c r="H604" s="247"/>
      <c r="I604" s="247"/>
      <c r="J604" s="246"/>
      <c r="K604" s="344"/>
      <c r="L604" s="345"/>
      <c r="M604" s="346"/>
    </row>
    <row r="605" spans="1:13" x14ac:dyDescent="0.2">
      <c r="A605" s="242">
        <v>99350139151</v>
      </c>
      <c r="B605" s="347" t="s">
        <v>38</v>
      </c>
      <c r="C605" s="243"/>
      <c r="D605" s="350" t="s">
        <v>251</v>
      </c>
      <c r="E605" s="351">
        <v>805</v>
      </c>
      <c r="F605" s="352">
        <v>0</v>
      </c>
      <c r="G605" s="284"/>
      <c r="H605" s="247"/>
      <c r="I605" s="353">
        <f>IF(AND(F605&gt;=32,F605&lt;=160),E605*F605,0)</f>
        <v>0</v>
      </c>
      <c r="J605" s="354"/>
      <c r="K605" s="355">
        <f>I605-J605</f>
        <v>0</v>
      </c>
      <c r="L605" s="354">
        <f>K605*$P$5</f>
        <v>0</v>
      </c>
      <c r="M605" s="355">
        <f>K605+L605</f>
        <v>0</v>
      </c>
    </row>
    <row r="606" spans="1:13" x14ac:dyDescent="0.2">
      <c r="A606" s="240" t="s">
        <v>584</v>
      </c>
      <c r="B606" s="240"/>
      <c r="C606" s="241"/>
      <c r="D606" s="249" t="s">
        <v>636</v>
      </c>
      <c r="E606" s="273"/>
      <c r="F606" s="349"/>
      <c r="G606" s="475"/>
      <c r="H606" s="273"/>
      <c r="I606" s="445">
        <f>F608</f>
        <v>0</v>
      </c>
      <c r="J606" s="583" t="str">
        <f>IF(AND(F608&gt;=161,I608&gt;0),"PZAS PROMOCIONALES CORRECTAS","NO CUMPLE CON PZAS EN PROMOCION")</f>
        <v>NO CUMPLE CON PZAS EN PROMOCION</v>
      </c>
      <c r="K606" s="584"/>
      <c r="L606" s="584"/>
      <c r="M606" s="585"/>
    </row>
    <row r="607" spans="1:13" ht="16.350000000000001" customHeight="1" x14ac:dyDescent="0.2">
      <c r="A607" s="242" t="str">
        <f>+A606</f>
        <v>W2023WED0006</v>
      </c>
      <c r="B607" s="10" t="s">
        <v>48</v>
      </c>
      <c r="C607" s="243"/>
      <c r="D607" s="248" t="s">
        <v>375</v>
      </c>
      <c r="E607" s="244"/>
      <c r="F607" s="245"/>
      <c r="G607" s="284">
        <f>IF(AND(F608&gt;=161),1,0)</f>
        <v>0</v>
      </c>
      <c r="H607" s="247"/>
      <c r="I607" s="247"/>
      <c r="J607" s="246"/>
      <c r="K607" s="344"/>
      <c r="L607" s="345"/>
      <c r="M607" s="346"/>
    </row>
    <row r="608" spans="1:13" x14ac:dyDescent="0.2">
      <c r="A608" s="242">
        <v>99350139151</v>
      </c>
      <c r="B608" s="347" t="s">
        <v>38</v>
      </c>
      <c r="C608" s="243"/>
      <c r="D608" s="350" t="s">
        <v>251</v>
      </c>
      <c r="E608" s="351">
        <v>755</v>
      </c>
      <c r="F608" s="352">
        <v>0</v>
      </c>
      <c r="G608" s="284"/>
      <c r="H608" s="247"/>
      <c r="I608" s="353">
        <f>IF(AND(F608&gt;=161),E608*F608,0)</f>
        <v>0</v>
      </c>
      <c r="J608" s="354"/>
      <c r="K608" s="355">
        <f>I608-J608</f>
        <v>0</v>
      </c>
      <c r="L608" s="354">
        <f>K608*$P$5</f>
        <v>0</v>
      </c>
      <c r="M608" s="355">
        <f>K608+L608</f>
        <v>0</v>
      </c>
    </row>
    <row r="609" spans="1:14" ht="21" x14ac:dyDescent="0.2">
      <c r="A609" s="240" t="s">
        <v>585</v>
      </c>
      <c r="B609" s="240"/>
      <c r="C609" s="241"/>
      <c r="D609" s="249" t="s">
        <v>679</v>
      </c>
      <c r="E609" s="273"/>
      <c r="F609" s="349"/>
      <c r="G609" s="475"/>
      <c r="H609" s="273"/>
      <c r="I609" s="445">
        <f>F611</f>
        <v>0</v>
      </c>
      <c r="J609" s="583" t="str">
        <f>IF(AND(F611&gt;=161,I611&gt;0),"PZAS PROMOCIONALES CORRECTAS","NO CUMPLE CON PZAS EN PROMOCION")</f>
        <v>NO CUMPLE CON PZAS EN PROMOCION</v>
      </c>
      <c r="K609" s="584"/>
      <c r="L609" s="584"/>
      <c r="M609" s="585"/>
    </row>
    <row r="610" spans="1:14" ht="16.350000000000001" customHeight="1" x14ac:dyDescent="0.2">
      <c r="A610" s="242" t="str">
        <f>+A609</f>
        <v>W2023WED0007</v>
      </c>
      <c r="B610" s="10" t="s">
        <v>48</v>
      </c>
      <c r="C610" s="243"/>
      <c r="D610" s="248" t="s">
        <v>375</v>
      </c>
      <c r="E610" s="244"/>
      <c r="F610" s="245"/>
      <c r="G610" s="284">
        <f>IF(AND(F611&gt;=161),1,0)</f>
        <v>0</v>
      </c>
      <c r="H610" s="247"/>
      <c r="I610" s="247"/>
      <c r="J610" s="246"/>
      <c r="K610" s="344"/>
      <c r="L610" s="345"/>
      <c r="M610" s="346"/>
    </row>
    <row r="611" spans="1:14" x14ac:dyDescent="0.2">
      <c r="A611" s="242">
        <v>4084500380752</v>
      </c>
      <c r="B611" s="347" t="s">
        <v>40</v>
      </c>
      <c r="C611" s="243"/>
      <c r="D611" s="350" t="s">
        <v>252</v>
      </c>
      <c r="E611" s="351">
        <v>750</v>
      </c>
      <c r="F611" s="352">
        <v>0</v>
      </c>
      <c r="G611" s="284"/>
      <c r="H611" s="247"/>
      <c r="I611" s="353">
        <f>IF(AND(F611&gt;=10,F611&lt;=19),E611*F611,0)</f>
        <v>0</v>
      </c>
      <c r="J611" s="354"/>
      <c r="K611" s="355">
        <f>I611-J611</f>
        <v>0</v>
      </c>
      <c r="L611" s="354">
        <f>K611*$P$5</f>
        <v>0</v>
      </c>
      <c r="M611" s="355">
        <f>K611+L611</f>
        <v>0</v>
      </c>
    </row>
    <row r="612" spans="1:14" ht="21" x14ac:dyDescent="0.2">
      <c r="A612" s="240" t="s">
        <v>586</v>
      </c>
      <c r="B612" s="240"/>
      <c r="C612" s="241"/>
      <c r="D612" s="249" t="s">
        <v>680</v>
      </c>
      <c r="E612" s="273"/>
      <c r="F612" s="349"/>
      <c r="G612" s="475"/>
      <c r="H612" s="273"/>
      <c r="I612" s="445">
        <f>F614</f>
        <v>0</v>
      </c>
      <c r="J612" s="583" t="str">
        <f>IF(AND(F614&gt;=161,I614&gt;0),"PZAS PROMOCIONALES CORRECTAS","NO CUMPLE CON PZAS EN PROMOCION")</f>
        <v>NO CUMPLE CON PZAS EN PROMOCION</v>
      </c>
      <c r="K612" s="584"/>
      <c r="L612" s="584"/>
      <c r="M612" s="585"/>
    </row>
    <row r="613" spans="1:14" ht="16.350000000000001" customHeight="1" x14ac:dyDescent="0.2">
      <c r="A613" s="242" t="str">
        <f>+A612</f>
        <v>W2023WED0008</v>
      </c>
      <c r="B613" s="10" t="s">
        <v>48</v>
      </c>
      <c r="C613" s="243"/>
      <c r="D613" s="248" t="s">
        <v>375</v>
      </c>
      <c r="E613" s="244"/>
      <c r="F613" s="245"/>
      <c r="G613" s="284">
        <f>IF(AND(F614&gt;=161),1,0)</f>
        <v>0</v>
      </c>
      <c r="H613" s="247"/>
      <c r="I613" s="247"/>
      <c r="J613" s="246"/>
      <c r="K613" s="344"/>
      <c r="L613" s="345"/>
      <c r="M613" s="346"/>
    </row>
    <row r="614" spans="1:14" ht="15.75" thickBot="1" x14ac:dyDescent="0.25">
      <c r="A614" s="242">
        <v>4084500380752</v>
      </c>
      <c r="B614" s="347" t="s">
        <v>40</v>
      </c>
      <c r="C614" s="243"/>
      <c r="D614" s="350" t="s">
        <v>252</v>
      </c>
      <c r="E614" s="351">
        <v>700</v>
      </c>
      <c r="F614" s="352">
        <v>0</v>
      </c>
      <c r="G614" s="284"/>
      <c r="H614" s="247"/>
      <c r="I614" s="353">
        <f>IF(AND(F614&gt;=20),E614*F614,0)</f>
        <v>0</v>
      </c>
      <c r="J614" s="354"/>
      <c r="K614" s="355">
        <f>I614-J614</f>
        <v>0</v>
      </c>
      <c r="L614" s="354">
        <f>K614*$P$5</f>
        <v>0</v>
      </c>
      <c r="M614" s="355">
        <f>K614+L614</f>
        <v>0</v>
      </c>
    </row>
    <row r="615" spans="1:14" ht="21.75" thickBot="1" x14ac:dyDescent="0.25">
      <c r="A615" s="240" t="s">
        <v>587</v>
      </c>
      <c r="B615" s="240"/>
      <c r="C615" s="241"/>
      <c r="D615" s="249" t="s">
        <v>655</v>
      </c>
      <c r="E615" s="273"/>
      <c r="F615" s="538">
        <f>IF(AND(H616&gt;0,N615&gt;=H616*21),N615,0)</f>
        <v>0</v>
      </c>
      <c r="G615" s="475"/>
      <c r="H615" s="392"/>
      <c r="I615" s="445">
        <f>F615</f>
        <v>0</v>
      </c>
      <c r="J615" s="587" t="str">
        <f>IF(AND(G617&gt;0,SUM(G618:G628)=G617,G617&gt;0),"PZAS PROMOCIONALES CORRECTAS","NO CUMPLE CON PZAS EN PROMOCION")</f>
        <v>NO CUMPLE CON PZAS EN PROMOCION</v>
      </c>
      <c r="K615" s="588"/>
      <c r="L615" s="588"/>
      <c r="M615" s="589"/>
      <c r="N615" s="342">
        <f>F363+F364+F366+F367+F368+F369+F370+F373+F374+F378+F379+F381+F382+F383</f>
        <v>0</v>
      </c>
    </row>
    <row r="616" spans="1:14" ht="16.350000000000001" customHeight="1" thickBot="1" x14ac:dyDescent="0.25">
      <c r="A616" s="242" t="str">
        <f>+A615</f>
        <v>W2023WED0009</v>
      </c>
      <c r="B616" s="10" t="s">
        <v>48</v>
      </c>
      <c r="C616" s="243"/>
      <c r="D616" s="248" t="s">
        <v>375</v>
      </c>
      <c r="E616" s="351"/>
      <c r="F616" s="245"/>
      <c r="G616" s="343">
        <f>IF(G617&gt;0,1,0)</f>
        <v>0</v>
      </c>
      <c r="H616" s="305">
        <v>0</v>
      </c>
      <c r="I616" s="461" t="s">
        <v>597</v>
      </c>
      <c r="J616" s="246"/>
      <c r="K616" s="344"/>
      <c r="L616" s="345"/>
      <c r="M616" s="346"/>
    </row>
    <row r="617" spans="1:14" ht="16.350000000000001" customHeight="1" x14ac:dyDescent="0.2">
      <c r="A617" s="242"/>
      <c r="B617" s="10"/>
      <c r="C617" s="243"/>
      <c r="D617" s="530" t="s">
        <v>638</v>
      </c>
      <c r="E617" s="351"/>
      <c r="F617" s="245"/>
      <c r="G617" s="343">
        <f>IF(AND(H616&gt;0,F615&gt;=21),ROUNDDOWN(F615/7,0),0)</f>
        <v>0</v>
      </c>
      <c r="H617" s="247"/>
      <c r="I617" s="247"/>
      <c r="J617" s="246"/>
      <c r="K617" s="344"/>
      <c r="L617" s="345"/>
      <c r="M617" s="346"/>
    </row>
    <row r="618" spans="1:14" ht="16.350000000000001" customHeight="1" x14ac:dyDescent="0.2">
      <c r="A618" s="242">
        <v>99350184314</v>
      </c>
      <c r="B618" s="347" t="s">
        <v>28</v>
      </c>
      <c r="C618" s="243"/>
      <c r="D618" s="348" t="s">
        <v>433</v>
      </c>
      <c r="E618" s="244"/>
      <c r="F618" s="363"/>
      <c r="G618" s="576">
        <v>0</v>
      </c>
      <c r="H618" s="247"/>
      <c r="I618" s="247"/>
      <c r="J618" s="246"/>
      <c r="K618" s="344"/>
      <c r="L618" s="345"/>
      <c r="M618" s="344"/>
    </row>
    <row r="619" spans="1:14" ht="16.350000000000001" customHeight="1" x14ac:dyDescent="0.2">
      <c r="A619" s="242">
        <v>99350170981</v>
      </c>
      <c r="B619" s="347" t="s">
        <v>28</v>
      </c>
      <c r="C619" s="243"/>
      <c r="D619" s="348" t="s">
        <v>582</v>
      </c>
      <c r="E619" s="244"/>
      <c r="F619" s="363"/>
      <c r="G619" s="576">
        <v>0</v>
      </c>
      <c r="H619" s="247"/>
      <c r="I619" s="247"/>
      <c r="J619" s="246"/>
      <c r="K619" s="344"/>
      <c r="L619" s="345"/>
      <c r="M619" s="344"/>
    </row>
    <row r="620" spans="1:14" ht="16.350000000000001" customHeight="1" x14ac:dyDescent="0.2">
      <c r="A620" s="242">
        <v>4015600022860</v>
      </c>
      <c r="B620" s="347" t="s">
        <v>28</v>
      </c>
      <c r="C620" s="243"/>
      <c r="D620" s="348" t="s">
        <v>241</v>
      </c>
      <c r="E620" s="244"/>
      <c r="F620" s="363"/>
      <c r="G620" s="576">
        <v>0</v>
      </c>
      <c r="H620" s="247"/>
      <c r="I620" s="247"/>
      <c r="J620" s="246"/>
      <c r="K620" s="344"/>
      <c r="L620" s="345"/>
      <c r="M620" s="344"/>
    </row>
    <row r="621" spans="1:14" ht="16.350000000000001" customHeight="1" x14ac:dyDescent="0.2">
      <c r="A621" s="242">
        <v>99350176753</v>
      </c>
      <c r="B621" s="347" t="s">
        <v>28</v>
      </c>
      <c r="C621" s="243"/>
      <c r="D621" s="348" t="s">
        <v>445</v>
      </c>
      <c r="E621" s="244"/>
      <c r="F621" s="363"/>
      <c r="G621" s="576">
        <v>0</v>
      </c>
      <c r="H621" s="247"/>
      <c r="I621" s="247"/>
      <c r="J621" s="246"/>
      <c r="K621" s="344"/>
      <c r="L621" s="345"/>
      <c r="M621" s="344"/>
    </row>
    <row r="622" spans="1:14" ht="16.350000000000001" customHeight="1" x14ac:dyDescent="0.2">
      <c r="A622" s="242">
        <v>99350176754</v>
      </c>
      <c r="B622" s="347" t="s">
        <v>28</v>
      </c>
      <c r="C622" s="243"/>
      <c r="D622" s="348" t="s">
        <v>446</v>
      </c>
      <c r="E622" s="244"/>
      <c r="F622" s="363"/>
      <c r="G622" s="576">
        <v>0</v>
      </c>
      <c r="H622" s="247"/>
      <c r="I622" s="247"/>
      <c r="J622" s="246"/>
      <c r="K622" s="344"/>
      <c r="L622" s="345"/>
      <c r="M622" s="344"/>
    </row>
    <row r="623" spans="1:14" ht="16.350000000000001" customHeight="1" x14ac:dyDescent="0.2">
      <c r="A623" s="242">
        <v>99350184322</v>
      </c>
      <c r="B623" s="347" t="s">
        <v>28</v>
      </c>
      <c r="C623" s="243"/>
      <c r="D623" s="348" t="s">
        <v>434</v>
      </c>
      <c r="E623" s="244"/>
      <c r="F623" s="363"/>
      <c r="G623" s="576">
        <v>0</v>
      </c>
      <c r="H623" s="247"/>
      <c r="I623" s="247"/>
      <c r="J623" s="246"/>
      <c r="K623" s="344"/>
      <c r="L623" s="345"/>
      <c r="M623" s="344"/>
    </row>
    <row r="624" spans="1:14" ht="16.350000000000001" customHeight="1" x14ac:dyDescent="0.2">
      <c r="A624" s="242">
        <v>99350176757</v>
      </c>
      <c r="B624" s="347" t="s">
        <v>28</v>
      </c>
      <c r="C624" s="243"/>
      <c r="D624" s="348" t="s">
        <v>435</v>
      </c>
      <c r="E624" s="244"/>
      <c r="F624" s="363"/>
      <c r="G624" s="576">
        <v>0</v>
      </c>
      <c r="H624" s="247"/>
      <c r="I624" s="247"/>
      <c r="J624" s="246"/>
      <c r="K624" s="344"/>
      <c r="L624" s="345"/>
      <c r="M624" s="344"/>
    </row>
    <row r="625" spans="1:14" ht="16.350000000000001" customHeight="1" x14ac:dyDescent="0.2">
      <c r="A625" s="242">
        <v>4015600059552</v>
      </c>
      <c r="B625" s="347" t="s">
        <v>29</v>
      </c>
      <c r="C625" s="243"/>
      <c r="D625" s="348" t="s">
        <v>637</v>
      </c>
      <c r="E625" s="244"/>
      <c r="F625" s="363"/>
      <c r="G625" s="576">
        <v>0</v>
      </c>
      <c r="H625" s="247"/>
      <c r="I625" s="247"/>
      <c r="J625" s="246"/>
      <c r="K625" s="344"/>
      <c r="L625" s="345"/>
      <c r="M625" s="344"/>
    </row>
    <row r="626" spans="1:14" ht="16.350000000000001" customHeight="1" x14ac:dyDescent="0.2">
      <c r="A626" s="242">
        <v>4015600059576</v>
      </c>
      <c r="B626" s="347" t="s">
        <v>29</v>
      </c>
      <c r="C626" s="243"/>
      <c r="D626" s="348" t="s">
        <v>242</v>
      </c>
      <c r="E626" s="244"/>
      <c r="F626" s="363"/>
      <c r="G626" s="576">
        <v>0</v>
      </c>
      <c r="H626" s="247"/>
      <c r="I626" s="247"/>
      <c r="J626" s="246"/>
      <c r="K626" s="344"/>
      <c r="L626" s="345"/>
      <c r="M626" s="344"/>
    </row>
    <row r="627" spans="1:14" ht="16.350000000000001" customHeight="1" x14ac:dyDescent="0.2">
      <c r="A627" s="242">
        <v>99350110380</v>
      </c>
      <c r="B627" s="347" t="s">
        <v>31</v>
      </c>
      <c r="C627" s="243"/>
      <c r="D627" s="348" t="s">
        <v>243</v>
      </c>
      <c r="E627" s="244"/>
      <c r="F627" s="363"/>
      <c r="G627" s="576">
        <v>0</v>
      </c>
      <c r="H627" s="247"/>
      <c r="I627" s="247"/>
      <c r="J627" s="246"/>
      <c r="K627" s="344"/>
      <c r="L627" s="345"/>
      <c r="M627" s="344"/>
    </row>
    <row r="628" spans="1:14" ht="16.350000000000001" customHeight="1" thickBot="1" x14ac:dyDescent="0.25">
      <c r="A628" s="242">
        <v>99350170135</v>
      </c>
      <c r="B628" s="347" t="s">
        <v>31</v>
      </c>
      <c r="C628" s="243"/>
      <c r="D628" s="348" t="s">
        <v>244</v>
      </c>
      <c r="E628" s="244"/>
      <c r="F628" s="363"/>
      <c r="G628" s="576">
        <v>0</v>
      </c>
      <c r="H628" s="247"/>
      <c r="I628" s="247"/>
      <c r="J628" s="246"/>
      <c r="K628" s="344"/>
      <c r="L628" s="345"/>
      <c r="M628" s="344"/>
    </row>
    <row r="629" spans="1:14" ht="15.75" thickBot="1" x14ac:dyDescent="0.25">
      <c r="A629" s="240" t="s">
        <v>592</v>
      </c>
      <c r="B629" s="240"/>
      <c r="C629" s="241"/>
      <c r="D629" s="249" t="s">
        <v>656</v>
      </c>
      <c r="E629" s="273"/>
      <c r="F629" s="538">
        <f>IF(AND(H630&gt;0,N629&gt;=H630*7),N629,0)</f>
        <v>0</v>
      </c>
      <c r="G629" s="475"/>
      <c r="H629" s="392"/>
      <c r="I629" s="445">
        <f>F629</f>
        <v>0</v>
      </c>
      <c r="J629" s="587" t="str">
        <f>IF(AND(G630&gt;0,G631&gt;0),"PZAS PROMOCIONALES CORRECTAS","NO CUMPLE CON PZAS EN PROMOCION")</f>
        <v>NO CUMPLE CON PZAS EN PROMOCION</v>
      </c>
      <c r="K629" s="588"/>
      <c r="L629" s="588"/>
      <c r="M629" s="589"/>
      <c r="N629" s="531">
        <f>F371+F375+F376</f>
        <v>0</v>
      </c>
    </row>
    <row r="630" spans="1:14" ht="16.350000000000001" customHeight="1" thickBot="1" x14ac:dyDescent="0.25">
      <c r="A630" s="242" t="str">
        <f>+A629</f>
        <v>W2023WED0010</v>
      </c>
      <c r="B630" s="10" t="s">
        <v>48</v>
      </c>
      <c r="C630" s="243"/>
      <c r="D630" s="248" t="s">
        <v>375</v>
      </c>
      <c r="E630" s="244"/>
      <c r="F630" s="245"/>
      <c r="G630" s="343">
        <f>IF(G631&gt;0,1,0)</f>
        <v>0</v>
      </c>
      <c r="H630" s="305">
        <v>0</v>
      </c>
      <c r="I630" s="461" t="s">
        <v>597</v>
      </c>
      <c r="J630" s="246"/>
      <c r="K630" s="344"/>
      <c r="L630" s="345"/>
      <c r="M630" s="346"/>
    </row>
    <row r="631" spans="1:14" ht="16.350000000000001" customHeight="1" thickBot="1" x14ac:dyDescent="0.25">
      <c r="A631" s="242" t="s">
        <v>644</v>
      </c>
      <c r="B631" s="347" t="s">
        <v>48</v>
      </c>
      <c r="C631" s="243"/>
      <c r="D631" s="348" t="s">
        <v>645</v>
      </c>
      <c r="E631" s="244"/>
      <c r="F631" s="244"/>
      <c r="G631" s="343">
        <f>IF(AND(H630&gt;0,F629&gt;=H630*7),F629,0)</f>
        <v>0</v>
      </c>
      <c r="H631" s="247"/>
      <c r="I631" s="353"/>
      <c r="J631" s="354"/>
      <c r="K631" s="355"/>
      <c r="L631" s="354"/>
      <c r="M631" s="355"/>
    </row>
    <row r="632" spans="1:14" x14ac:dyDescent="0.2">
      <c r="A632" s="240" t="s">
        <v>593</v>
      </c>
      <c r="B632" s="240"/>
      <c r="C632" s="241"/>
      <c r="D632" s="249" t="s">
        <v>588</v>
      </c>
      <c r="E632" s="273"/>
      <c r="F632" s="342"/>
      <c r="G632" s="475"/>
      <c r="H632" s="392"/>
      <c r="I632" s="445">
        <f>F634</f>
        <v>0</v>
      </c>
      <c r="J632" s="587" t="str">
        <f>IF(G633&gt;0,"PZAS PROMOCIONALES CORRECTAS","NO CUMPLE CON PZAS EN PROMOCION")</f>
        <v>NO CUMPLE CON PZAS EN PROMOCION</v>
      </c>
      <c r="K632" s="588"/>
      <c r="L632" s="588"/>
      <c r="M632" s="589"/>
    </row>
    <row r="633" spans="1:14" ht="16.350000000000001" customHeight="1" x14ac:dyDescent="0.2">
      <c r="A633" s="242" t="str">
        <f>+A632</f>
        <v>W2023WED0011</v>
      </c>
      <c r="B633" s="10" t="s">
        <v>48</v>
      </c>
      <c r="C633" s="243"/>
      <c r="D633" s="248" t="s">
        <v>375</v>
      </c>
      <c r="E633" s="244"/>
      <c r="F633" s="245"/>
      <c r="G633" s="343">
        <f>IF(F634&gt;0,1,0)</f>
        <v>0</v>
      </c>
      <c r="H633" s="247"/>
      <c r="I633" s="247"/>
      <c r="J633" s="246"/>
      <c r="K633" s="344"/>
      <c r="L633" s="345"/>
      <c r="M633" s="346"/>
    </row>
    <row r="634" spans="1:14" ht="15.75" thickBot="1" x14ac:dyDescent="0.25">
      <c r="A634" s="242">
        <v>7506309809984</v>
      </c>
      <c r="B634" s="347" t="s">
        <v>42</v>
      </c>
      <c r="C634" s="243"/>
      <c r="D634" s="348" t="s">
        <v>257</v>
      </c>
      <c r="E634" s="351">
        <v>194.56800000000001</v>
      </c>
      <c r="F634" s="352">
        <v>0</v>
      </c>
      <c r="G634" s="247"/>
      <c r="H634" s="247"/>
      <c r="I634" s="353">
        <f>IF(SUM(F634:F634)&gt;=1,E634*F634,0)</f>
        <v>0</v>
      </c>
      <c r="J634" s="354">
        <f t="shared" ref="J634" si="207">I634*$M$20</f>
        <v>0</v>
      </c>
      <c r="K634" s="355">
        <f>I634-J634</f>
        <v>0</v>
      </c>
      <c r="L634" s="354">
        <f>K634*$P$5</f>
        <v>0</v>
      </c>
      <c r="M634" s="355">
        <f>K634+L634</f>
        <v>0</v>
      </c>
    </row>
    <row r="635" spans="1:14" ht="15.75" thickBot="1" x14ac:dyDescent="0.25">
      <c r="A635" s="240" t="s">
        <v>641</v>
      </c>
      <c r="B635" s="240"/>
      <c r="C635" s="241"/>
      <c r="D635" s="249" t="s">
        <v>589</v>
      </c>
      <c r="E635" s="273"/>
      <c r="F635" s="341"/>
      <c r="G635" s="475"/>
      <c r="H635" s="392"/>
      <c r="I635" s="445">
        <f>SUM(F637:F638)</f>
        <v>0</v>
      </c>
      <c r="J635" s="587" t="str">
        <f>IF(SUM(F637:F638)&gt;1,"PZAS PROMOCIONALES CORRECTAS","NO CUMPLE CON PZAS EN PROMOCION")</f>
        <v>NO CUMPLE CON PZAS EN PROMOCION</v>
      </c>
      <c r="K635" s="588"/>
      <c r="L635" s="588"/>
      <c r="M635" s="589"/>
    </row>
    <row r="636" spans="1:14" ht="16.350000000000001" customHeight="1" thickBot="1" x14ac:dyDescent="0.25">
      <c r="A636" s="242" t="str">
        <f>+A635</f>
        <v>W2023WED0012</v>
      </c>
      <c r="B636" s="10" t="s">
        <v>48</v>
      </c>
      <c r="C636" s="243"/>
      <c r="D636" s="248" t="s">
        <v>375</v>
      </c>
      <c r="E636" s="244"/>
      <c r="F636" s="245"/>
      <c r="G636" s="343">
        <f>IF(G637&gt;0,1,0)</f>
        <v>0</v>
      </c>
      <c r="H636" s="305">
        <v>0</v>
      </c>
      <c r="I636" s="461" t="s">
        <v>597</v>
      </c>
      <c r="J636" s="246"/>
      <c r="K636" s="344"/>
      <c r="L636" s="345"/>
      <c r="M636" s="346"/>
    </row>
    <row r="637" spans="1:14" x14ac:dyDescent="0.2">
      <c r="A637" s="242">
        <v>99350112178</v>
      </c>
      <c r="B637" s="347" t="s">
        <v>41</v>
      </c>
      <c r="C637" s="243"/>
      <c r="D637" s="348" t="s">
        <v>590</v>
      </c>
      <c r="E637" s="581">
        <v>2398.9919999999997</v>
      </c>
      <c r="F637" s="580">
        <v>0</v>
      </c>
      <c r="G637" s="346"/>
      <c r="H637" s="346"/>
      <c r="I637" s="353">
        <f>IF(SUM(F637:F638)&gt;=2,F637*E637,0)</f>
        <v>0</v>
      </c>
      <c r="J637" s="466"/>
      <c r="K637" s="355">
        <f>I637-J637</f>
        <v>0</v>
      </c>
      <c r="L637" s="354">
        <f>K637*$P$6</f>
        <v>0</v>
      </c>
      <c r="M637" s="355">
        <f>K637+L637</f>
        <v>0</v>
      </c>
    </row>
    <row r="638" spans="1:14" ht="15.75" thickBot="1" x14ac:dyDescent="0.25">
      <c r="A638" s="242">
        <v>99240107513</v>
      </c>
      <c r="B638" s="347" t="s">
        <v>41</v>
      </c>
      <c r="C638" s="243"/>
      <c r="D638" s="348" t="s">
        <v>591</v>
      </c>
      <c r="E638" s="581">
        <v>1203.2239999999999</v>
      </c>
      <c r="F638" s="580">
        <v>0</v>
      </c>
      <c r="G638" s="346"/>
      <c r="H638" s="346"/>
      <c r="I638" s="353">
        <f>IF(SUM(F637:F638)&gt;=2,F638*E638,0)</f>
        <v>0</v>
      </c>
      <c r="J638" s="466"/>
      <c r="K638" s="355">
        <f t="shared" ref="K638" si="208">I638-J638</f>
        <v>0</v>
      </c>
      <c r="L638" s="354">
        <f t="shared" ref="L638" si="209">K638*$P$6</f>
        <v>0</v>
      </c>
      <c r="M638" s="355">
        <f t="shared" ref="M638" si="210">K638+L638</f>
        <v>0</v>
      </c>
    </row>
    <row r="639" spans="1:14" x14ac:dyDescent="0.2">
      <c r="A639" s="240" t="s">
        <v>594</v>
      </c>
      <c r="B639" s="240"/>
      <c r="C639" s="241"/>
      <c r="D639" s="249" t="s">
        <v>657</v>
      </c>
      <c r="E639" s="273"/>
      <c r="F639" s="341">
        <f>IF(AND(H640&gt;0,(N639+IF(H647&gt;0,H647*28000,0))&gt;=H640*20000),H640*20000,0)</f>
        <v>0</v>
      </c>
      <c r="G639" s="475"/>
      <c r="H639" s="533"/>
      <c r="I639" s="445">
        <f>F639</f>
        <v>0</v>
      </c>
      <c r="J639" s="587" t="str">
        <f>IF(AND(G641&gt;0,G643&gt;0,SUM(G644:G645)=G643),"PZAS PROMOCIONALES CORRECTAS","NO CUMPLE CON PZAS EN PROMOCION")</f>
        <v>NO CUMPLE CON PZAS EN PROMOCION</v>
      </c>
      <c r="K639" s="588"/>
      <c r="L639" s="588"/>
      <c r="M639" s="589"/>
      <c r="N639" s="341">
        <f>SUM(K467:K481)</f>
        <v>0</v>
      </c>
    </row>
    <row r="640" spans="1:14" ht="16.350000000000001" customHeight="1" thickBot="1" x14ac:dyDescent="0.25">
      <c r="A640" s="242" t="str">
        <f>+A639</f>
        <v>W2023WED0013</v>
      </c>
      <c r="B640" s="10" t="s">
        <v>48</v>
      </c>
      <c r="C640" s="243"/>
      <c r="D640" s="248" t="s">
        <v>375</v>
      </c>
      <c r="E640" s="244"/>
      <c r="F640" s="245"/>
      <c r="G640" s="523">
        <f>IF(G641&gt;0,H640,0)</f>
        <v>0</v>
      </c>
      <c r="H640" s="534">
        <v>0</v>
      </c>
      <c r="I640" s="461" t="s">
        <v>597</v>
      </c>
      <c r="J640" s="246"/>
      <c r="K640" s="344"/>
      <c r="L640" s="345"/>
      <c r="M640" s="346"/>
    </row>
    <row r="641" spans="1:19" x14ac:dyDescent="0.2">
      <c r="A641" s="242">
        <v>4064666336206</v>
      </c>
      <c r="B641" s="347" t="s">
        <v>463</v>
      </c>
      <c r="C641" s="243"/>
      <c r="D641" s="348" t="s">
        <v>466</v>
      </c>
      <c r="E641" s="244"/>
      <c r="F641" s="244"/>
      <c r="G641" s="523">
        <f>IF(AND(H640&gt;0,F639&gt;=H640*20000),H640*3,0)</f>
        <v>0</v>
      </c>
      <c r="H641" s="247"/>
      <c r="I641" s="247"/>
      <c r="J641" s="247"/>
      <c r="K641" s="247"/>
      <c r="L641" s="247"/>
      <c r="M641" s="247"/>
    </row>
    <row r="642" spans="1:19" x14ac:dyDescent="0.2">
      <c r="A642" s="242">
        <v>4064666579887</v>
      </c>
      <c r="B642" s="347" t="s">
        <v>463</v>
      </c>
      <c r="C642" s="243"/>
      <c r="D642" s="350" t="s">
        <v>639</v>
      </c>
      <c r="E642" s="244"/>
      <c r="F642" s="244"/>
      <c r="G642" s="523">
        <f>IF(G641&gt;0,H640*15,0)</f>
        <v>0</v>
      </c>
      <c r="H642" s="247"/>
      <c r="I642" s="247"/>
      <c r="J642" s="247"/>
      <c r="K642" s="247"/>
      <c r="L642" s="247"/>
      <c r="M642" s="247"/>
    </row>
    <row r="643" spans="1:19" x14ac:dyDescent="0.2">
      <c r="A643" s="463"/>
      <c r="B643" s="347"/>
      <c r="C643" s="532"/>
      <c r="D643" s="530" t="s">
        <v>638</v>
      </c>
      <c r="E643" s="244"/>
      <c r="F643" s="244"/>
      <c r="G643" s="523">
        <f>IF(G641&gt;0,H640*15,0)</f>
        <v>0</v>
      </c>
      <c r="H643" s="247"/>
      <c r="I643" s="247"/>
      <c r="J643" s="247"/>
      <c r="K643" s="247"/>
      <c r="L643" s="528"/>
      <c r="M643" s="528"/>
    </row>
    <row r="644" spans="1:19" x14ac:dyDescent="0.2">
      <c r="A644" s="463">
        <v>4064666336077</v>
      </c>
      <c r="B644" s="347" t="s">
        <v>463</v>
      </c>
      <c r="C644" s="532"/>
      <c r="D644" s="350" t="s">
        <v>640</v>
      </c>
      <c r="E644" s="244"/>
      <c r="F644" s="244"/>
      <c r="G644" s="576">
        <v>0</v>
      </c>
      <c r="H644" s="247"/>
      <c r="I644" s="247"/>
      <c r="J644" s="247"/>
      <c r="K644" s="247"/>
      <c r="L644" s="528"/>
      <c r="M644" s="528"/>
    </row>
    <row r="645" spans="1:19" ht="15.75" thickBot="1" x14ac:dyDescent="0.25">
      <c r="A645" s="525">
        <v>99350193607</v>
      </c>
      <c r="B645" s="347" t="s">
        <v>610</v>
      </c>
      <c r="C645" s="532"/>
      <c r="D645" s="350" t="s">
        <v>658</v>
      </c>
      <c r="E645" s="244"/>
      <c r="F645" s="244"/>
      <c r="G645" s="576">
        <v>0</v>
      </c>
      <c r="H645" s="528"/>
      <c r="I645" s="578"/>
      <c r="J645" s="528"/>
      <c r="K645" s="528"/>
      <c r="L645" s="528"/>
      <c r="M645" s="528"/>
    </row>
    <row r="646" spans="1:19" ht="15.75" thickBot="1" x14ac:dyDescent="0.25">
      <c r="A646" s="240" t="s">
        <v>595</v>
      </c>
      <c r="B646" s="240"/>
      <c r="C646" s="241"/>
      <c r="D646" s="249" t="s">
        <v>659</v>
      </c>
      <c r="E646" s="273"/>
      <c r="F646" s="341">
        <f>IF(AND(H647&gt;0,(N639+IF(H640&gt;0,H640*20000,0))&gt;=H647*28000),H647*28000,0)</f>
        <v>0</v>
      </c>
      <c r="G646" s="475"/>
      <c r="H646" s="392"/>
      <c r="I646" s="445">
        <f>F646</f>
        <v>0</v>
      </c>
      <c r="J646" s="587" t="str">
        <f>IF(AND(G648&gt;0,G649&gt;0,SUM(G650:G652)=G649),"PZAS PROMOCIONALES CORRECTAS","NO CUMPLE CON PZAS EN PROMOCION")</f>
        <v>NO CUMPLE CON PZAS EN PROMOCION</v>
      </c>
      <c r="K646" s="588"/>
      <c r="L646" s="588"/>
      <c r="M646" s="589"/>
    </row>
    <row r="647" spans="1:19" ht="16.350000000000001" customHeight="1" thickBot="1" x14ac:dyDescent="0.25">
      <c r="A647" s="242" t="str">
        <f>+A646</f>
        <v>W2023WED0014</v>
      </c>
      <c r="B647" s="10" t="s">
        <v>48</v>
      </c>
      <c r="C647" s="243"/>
      <c r="D647" s="248" t="s">
        <v>375</v>
      </c>
      <c r="E647" s="244"/>
      <c r="F647" s="245"/>
      <c r="G647" s="523">
        <f>IF(G648&gt;0,H647,0)</f>
        <v>0</v>
      </c>
      <c r="H647" s="524">
        <v>0</v>
      </c>
      <c r="I647" s="461" t="s">
        <v>597</v>
      </c>
      <c r="J647" s="246"/>
      <c r="K647" s="344"/>
      <c r="L647" s="345"/>
      <c r="M647" s="346"/>
    </row>
    <row r="648" spans="1:19" x14ac:dyDescent="0.2">
      <c r="A648" s="242">
        <v>4064666579931</v>
      </c>
      <c r="B648" s="347" t="s">
        <v>463</v>
      </c>
      <c r="C648" s="243"/>
      <c r="D648" s="348" t="s">
        <v>464</v>
      </c>
      <c r="E648" s="244"/>
      <c r="F648" s="244"/>
      <c r="G648" s="523">
        <f>IF(AND(H647&gt;0,F646&gt;=H647*28000),H647*4,0)</f>
        <v>0</v>
      </c>
      <c r="H648" s="247"/>
      <c r="I648" s="247"/>
      <c r="J648" s="247"/>
      <c r="K648" s="247"/>
      <c r="L648" s="247"/>
      <c r="M648" s="247"/>
    </row>
    <row r="649" spans="1:19" x14ac:dyDescent="0.2">
      <c r="A649" s="242"/>
      <c r="B649" s="347"/>
      <c r="C649" s="243"/>
      <c r="D649" s="530" t="s">
        <v>638</v>
      </c>
      <c r="E649" s="244"/>
      <c r="F649" s="244"/>
      <c r="G649" s="523">
        <f>IF(G648&gt;0,H647*16,0)</f>
        <v>0</v>
      </c>
      <c r="H649" s="247"/>
      <c r="I649" s="247"/>
      <c r="J649" s="247"/>
      <c r="K649" s="247"/>
      <c r="L649" s="247"/>
      <c r="M649" s="247"/>
    </row>
    <row r="650" spans="1:19" x14ac:dyDescent="0.2">
      <c r="A650" s="242">
        <v>4064666579887</v>
      </c>
      <c r="B650" s="347" t="s">
        <v>463</v>
      </c>
      <c r="C650" s="243"/>
      <c r="D650" s="350" t="s">
        <v>639</v>
      </c>
      <c r="E650" s="244"/>
      <c r="F650" s="244"/>
      <c r="G650" s="576">
        <v>0</v>
      </c>
      <c r="H650" s="247"/>
      <c r="I650" s="247"/>
      <c r="J650" s="247"/>
      <c r="K650" s="247"/>
      <c r="L650" s="247"/>
      <c r="M650" s="247"/>
    </row>
    <row r="651" spans="1:19" x14ac:dyDescent="0.2">
      <c r="A651" s="463">
        <v>4064666336077</v>
      </c>
      <c r="B651" s="347" t="s">
        <v>463</v>
      </c>
      <c r="C651" s="532"/>
      <c r="D651" s="350" t="s">
        <v>640</v>
      </c>
      <c r="E651" s="244"/>
      <c r="F651" s="244"/>
      <c r="G651" s="576">
        <v>0</v>
      </c>
      <c r="H651" s="247"/>
      <c r="I651" s="247"/>
      <c r="J651" s="247"/>
      <c r="K651" s="247"/>
      <c r="L651" s="528"/>
      <c r="M651" s="528"/>
    </row>
    <row r="652" spans="1:19" ht="15.75" thickBot="1" x14ac:dyDescent="0.25">
      <c r="A652" s="463">
        <v>4064666803395</v>
      </c>
      <c r="B652" s="347" t="s">
        <v>463</v>
      </c>
      <c r="C652" s="532"/>
      <c r="D652" s="350" t="s">
        <v>642</v>
      </c>
      <c r="E652" s="244"/>
      <c r="F652" s="536"/>
      <c r="G652" s="576">
        <v>0</v>
      </c>
      <c r="H652" s="247"/>
      <c r="I652" s="247"/>
      <c r="J652" s="247"/>
      <c r="K652" s="247"/>
      <c r="L652" s="528"/>
      <c r="M652" s="528"/>
    </row>
    <row r="653" spans="1:19" s="7" customFormat="1" ht="21" thickBot="1" x14ac:dyDescent="0.2">
      <c r="A653" s="240" t="s">
        <v>622</v>
      </c>
      <c r="B653" s="447"/>
      <c r="C653" s="448"/>
      <c r="D653" s="449" t="s">
        <v>609</v>
      </c>
      <c r="E653" s="273"/>
      <c r="F653" s="537"/>
      <c r="G653" s="535"/>
      <c r="H653" s="450"/>
      <c r="I653" s="451">
        <f>+H654</f>
        <v>0</v>
      </c>
      <c r="J653" s="471" t="str">
        <f>IF(AND(H654&gt;0,G655&gt;0),"PZAS PROMOCIONALES CORRECTAS","NO CUMPLE CON PZAS DE PROMOCIÓN")</f>
        <v>NO CUMPLE CON PZAS DE PROMOCIÓN</v>
      </c>
      <c r="K653" s="471"/>
      <c r="L653" s="472"/>
      <c r="M653" s="473"/>
      <c r="N653" s="452"/>
      <c r="O653" s="453"/>
      <c r="P653" s="453"/>
      <c r="Q653" s="453"/>
      <c r="R653" s="454"/>
      <c r="S653" s="455"/>
    </row>
    <row r="654" spans="1:19" s="7" customFormat="1" ht="15.75" thickBot="1" x14ac:dyDescent="0.2">
      <c r="A654" s="456"/>
      <c r="B654" s="457"/>
      <c r="C654" s="448"/>
      <c r="D654" s="458" t="s">
        <v>596</v>
      </c>
      <c r="E654" s="459"/>
      <c r="F654" s="460"/>
      <c r="G654" s="346"/>
      <c r="H654" s="305">
        <v>0</v>
      </c>
      <c r="I654" s="461" t="s">
        <v>597</v>
      </c>
      <c r="J654" s="355"/>
      <c r="K654" s="355"/>
      <c r="L654" s="354"/>
      <c r="M654" s="355"/>
      <c r="O654" s="462"/>
      <c r="P654" s="453"/>
      <c r="Q654" s="453"/>
      <c r="R654" s="454"/>
      <c r="S654" s="455"/>
    </row>
    <row r="655" spans="1:19" s="7" customFormat="1" x14ac:dyDescent="0.15">
      <c r="A655" s="463">
        <v>99350193607</v>
      </c>
      <c r="B655" s="347" t="s">
        <v>610</v>
      </c>
      <c r="C655" s="448"/>
      <c r="D655" s="520" t="s">
        <v>598</v>
      </c>
      <c r="E655" s="521">
        <v>853.89937499999985</v>
      </c>
      <c r="F655" s="580">
        <f>IF(H654&gt;0,H654*2,0)</f>
        <v>0</v>
      </c>
      <c r="G655" s="465">
        <f>IF(H654&gt;0,H654*3,0)</f>
        <v>0</v>
      </c>
      <c r="H655" s="346"/>
      <c r="I655" s="353">
        <f>IF(F655&gt;=2,F655*E655,0)</f>
        <v>0</v>
      </c>
      <c r="J655" s="540">
        <f t="shared" ref="J655:J662" si="211">I655*0.25</f>
        <v>0</v>
      </c>
      <c r="K655" s="355">
        <f>I655-J655</f>
        <v>0</v>
      </c>
      <c r="L655" s="354">
        <f>K655*$P$5</f>
        <v>0</v>
      </c>
      <c r="M655" s="355">
        <f>K655+L655</f>
        <v>0</v>
      </c>
      <c r="O655" s="462"/>
      <c r="P655" s="453"/>
      <c r="Q655" s="453"/>
      <c r="R655" s="454"/>
      <c r="S655" s="455"/>
    </row>
    <row r="656" spans="1:19" s="7" customFormat="1" x14ac:dyDescent="0.15">
      <c r="A656" s="463">
        <v>99350193593</v>
      </c>
      <c r="B656" s="347" t="s">
        <v>610</v>
      </c>
      <c r="C656" s="448"/>
      <c r="D656" s="520" t="s">
        <v>599</v>
      </c>
      <c r="E656" s="521">
        <v>370.07183908045982</v>
      </c>
      <c r="F656" s="580">
        <f>IF(H654&gt;0,H654*44,0)</f>
        <v>0</v>
      </c>
      <c r="G656" s="346"/>
      <c r="H656" s="346"/>
      <c r="I656" s="353">
        <f t="shared" ref="I656:I662" si="212">IF(F656&gt;=2,F656*E656,0)</f>
        <v>0</v>
      </c>
      <c r="J656" s="540">
        <f t="shared" si="211"/>
        <v>0</v>
      </c>
      <c r="K656" s="355">
        <f t="shared" ref="K656:K662" si="213">I656-J656</f>
        <v>0</v>
      </c>
      <c r="L656" s="354">
        <f t="shared" ref="L656:L662" si="214">K656*$P$5</f>
        <v>0</v>
      </c>
      <c r="M656" s="355">
        <f t="shared" ref="M656:M662" si="215">K656+L656</f>
        <v>0</v>
      </c>
      <c r="O656" s="462"/>
      <c r="P656" s="453"/>
      <c r="Q656" s="453"/>
      <c r="R656" s="454"/>
      <c r="S656" s="455"/>
    </row>
    <row r="657" spans="1:19" s="7" customFormat="1" x14ac:dyDescent="0.15">
      <c r="A657" s="463">
        <v>99350193636</v>
      </c>
      <c r="B657" s="347" t="s">
        <v>610</v>
      </c>
      <c r="C657" s="448"/>
      <c r="D657" s="520" t="s">
        <v>600</v>
      </c>
      <c r="E657" s="521">
        <v>1266.9363636363637</v>
      </c>
      <c r="F657" s="580">
        <f>IF(H654&gt;0,H654*2,0)</f>
        <v>0</v>
      </c>
      <c r="G657" s="465">
        <f>IF(H654&gt;0,H654*3,0)</f>
        <v>0</v>
      </c>
      <c r="H657" s="346"/>
      <c r="I657" s="353">
        <f t="shared" si="212"/>
        <v>0</v>
      </c>
      <c r="J657" s="540">
        <f t="shared" si="211"/>
        <v>0</v>
      </c>
      <c r="K657" s="355">
        <f t="shared" si="213"/>
        <v>0</v>
      </c>
      <c r="L657" s="354">
        <f t="shared" si="214"/>
        <v>0</v>
      </c>
      <c r="M657" s="355">
        <f t="shared" si="215"/>
        <v>0</v>
      </c>
      <c r="O657" s="462"/>
      <c r="P657" s="453"/>
      <c r="Q657" s="453"/>
      <c r="R657" s="454"/>
      <c r="S657" s="455"/>
    </row>
    <row r="658" spans="1:19" s="7" customFormat="1" x14ac:dyDescent="0.15">
      <c r="A658" s="463">
        <v>99350193620</v>
      </c>
      <c r="B658" s="347" t="s">
        <v>610</v>
      </c>
      <c r="C658" s="448"/>
      <c r="D658" s="520" t="s">
        <v>601</v>
      </c>
      <c r="E658" s="521">
        <v>462.74425287356325</v>
      </c>
      <c r="F658" s="580">
        <f>IF(H654&gt;0,H654*22,0)</f>
        <v>0</v>
      </c>
      <c r="G658" s="346"/>
      <c r="H658" s="346"/>
      <c r="I658" s="353">
        <f t="shared" si="212"/>
        <v>0</v>
      </c>
      <c r="J658" s="540">
        <f t="shared" si="211"/>
        <v>0</v>
      </c>
      <c r="K658" s="355">
        <f t="shared" si="213"/>
        <v>0</v>
      </c>
      <c r="L658" s="354">
        <f t="shared" si="214"/>
        <v>0</v>
      </c>
      <c r="M658" s="355">
        <f t="shared" si="215"/>
        <v>0</v>
      </c>
      <c r="O658" s="462"/>
      <c r="P658" s="453"/>
      <c r="Q658" s="453"/>
      <c r="R658" s="454"/>
      <c r="S658" s="455"/>
    </row>
    <row r="659" spans="1:19" s="7" customFormat="1" x14ac:dyDescent="0.15">
      <c r="A659" s="463">
        <v>99350193641</v>
      </c>
      <c r="B659" s="347" t="s">
        <v>610</v>
      </c>
      <c r="C659" s="448"/>
      <c r="D659" s="520" t="s">
        <v>602</v>
      </c>
      <c r="E659" s="521">
        <v>510</v>
      </c>
      <c r="F659" s="580">
        <f>IF(H654&gt;0,H654*26,0)</f>
        <v>0</v>
      </c>
      <c r="G659" s="346"/>
      <c r="H659" s="346"/>
      <c r="I659" s="353">
        <f t="shared" si="212"/>
        <v>0</v>
      </c>
      <c r="J659" s="540">
        <f t="shared" si="211"/>
        <v>0</v>
      </c>
      <c r="K659" s="355">
        <f t="shared" si="213"/>
        <v>0</v>
      </c>
      <c r="L659" s="354">
        <f t="shared" si="214"/>
        <v>0</v>
      </c>
      <c r="M659" s="355">
        <f t="shared" si="215"/>
        <v>0</v>
      </c>
      <c r="O659" s="462"/>
      <c r="P659" s="453"/>
      <c r="Q659" s="453"/>
      <c r="R659" s="454"/>
      <c r="S659" s="455"/>
    </row>
    <row r="660" spans="1:19" s="7" customFormat="1" x14ac:dyDescent="0.15">
      <c r="A660" s="463">
        <v>99350193639</v>
      </c>
      <c r="B660" s="347" t="s">
        <v>610</v>
      </c>
      <c r="C660" s="448"/>
      <c r="D660" s="520" t="s">
        <v>603</v>
      </c>
      <c r="E660" s="521">
        <v>191.24787499999999</v>
      </c>
      <c r="F660" s="580">
        <f>IF(H654&gt;0,H654*26,0)</f>
        <v>0</v>
      </c>
      <c r="G660" s="465">
        <f>IF(H654&gt;0,H654*8,0)</f>
        <v>0</v>
      </c>
      <c r="H660" s="346"/>
      <c r="I660" s="353">
        <f t="shared" si="212"/>
        <v>0</v>
      </c>
      <c r="J660" s="540">
        <f t="shared" si="211"/>
        <v>0</v>
      </c>
      <c r="K660" s="355">
        <f t="shared" si="213"/>
        <v>0</v>
      </c>
      <c r="L660" s="354">
        <f t="shared" si="214"/>
        <v>0</v>
      </c>
      <c r="M660" s="355">
        <f t="shared" si="215"/>
        <v>0</v>
      </c>
      <c r="O660" s="462"/>
      <c r="P660" s="453"/>
      <c r="Q660" s="453"/>
      <c r="R660" s="454"/>
      <c r="S660" s="455"/>
    </row>
    <row r="661" spans="1:19" s="7" customFormat="1" hidden="1" x14ac:dyDescent="0.15">
      <c r="A661" s="463"/>
      <c r="B661" s="347">
        <v>0</v>
      </c>
      <c r="C661" s="448"/>
      <c r="D661" s="520"/>
      <c r="E661" s="355"/>
      <c r="F661" s="580"/>
      <c r="G661" s="346"/>
      <c r="H661" s="346"/>
      <c r="I661" s="353"/>
      <c r="J661" s="540">
        <f t="shared" si="211"/>
        <v>0</v>
      </c>
      <c r="K661" s="355"/>
      <c r="L661" s="354">
        <f t="shared" si="214"/>
        <v>0</v>
      </c>
      <c r="M661" s="355"/>
      <c r="O661" s="462"/>
      <c r="P661" s="453"/>
      <c r="Q661" s="453"/>
      <c r="R661" s="454"/>
      <c r="S661" s="455"/>
    </row>
    <row r="662" spans="1:19" s="7" customFormat="1" x14ac:dyDescent="0.15">
      <c r="A662" s="463">
        <v>99350193662</v>
      </c>
      <c r="B662" s="347" t="s">
        <v>610</v>
      </c>
      <c r="C662" s="448"/>
      <c r="D662" s="520" t="s">
        <v>605</v>
      </c>
      <c r="E662" s="521">
        <v>1649.6068500000001</v>
      </c>
      <c r="F662" s="580">
        <f>IF(H654&gt;0,H654*2,0)</f>
        <v>0</v>
      </c>
      <c r="G662" s="465">
        <f>IF(H654&gt;0,H654*3,0)</f>
        <v>0</v>
      </c>
      <c r="H662" s="346"/>
      <c r="I662" s="353">
        <f t="shared" si="212"/>
        <v>0</v>
      </c>
      <c r="J662" s="540">
        <f t="shared" si="211"/>
        <v>0</v>
      </c>
      <c r="K662" s="355">
        <f t="shared" si="213"/>
        <v>0</v>
      </c>
      <c r="L662" s="354">
        <f t="shared" si="214"/>
        <v>0</v>
      </c>
      <c r="M662" s="355">
        <f t="shared" si="215"/>
        <v>0</v>
      </c>
      <c r="O662" s="462"/>
      <c r="P662" s="453"/>
      <c r="Q662" s="453"/>
      <c r="R662" s="454"/>
      <c r="S662" s="455"/>
    </row>
    <row r="663" spans="1:19" s="7" customFormat="1" x14ac:dyDescent="0.15">
      <c r="A663" s="463" t="s">
        <v>650</v>
      </c>
      <c r="B663" s="468" t="s">
        <v>48</v>
      </c>
      <c r="C663" s="448"/>
      <c r="D663" s="464" t="s">
        <v>651</v>
      </c>
      <c r="E663" s="459"/>
      <c r="F663" s="459"/>
      <c r="G663" s="465">
        <f>IF(H654&gt;0,H654*4,0)</f>
        <v>0</v>
      </c>
      <c r="H663" s="346"/>
      <c r="I663" s="353"/>
      <c r="J663" s="466"/>
      <c r="K663" s="355"/>
      <c r="L663" s="354"/>
      <c r="M663" s="355"/>
      <c r="O663" s="462"/>
      <c r="P663" s="453"/>
      <c r="Q663" s="453"/>
      <c r="R663" s="454"/>
      <c r="S663" s="455"/>
    </row>
    <row r="664" spans="1:19" s="7" customFormat="1" x14ac:dyDescent="0.15">
      <c r="A664" s="463">
        <v>99350193656</v>
      </c>
      <c r="B664" s="347" t="s">
        <v>610</v>
      </c>
      <c r="C664" s="448"/>
      <c r="D664" s="464" t="s">
        <v>606</v>
      </c>
      <c r="E664" s="459"/>
      <c r="F664" s="459"/>
      <c r="G664" s="465">
        <f>IF(H654&gt;0,H654*16,0)</f>
        <v>0</v>
      </c>
      <c r="H664" s="346"/>
      <c r="I664" s="353"/>
      <c r="J664" s="466"/>
      <c r="K664" s="355"/>
      <c r="L664" s="354"/>
      <c r="M664" s="355"/>
      <c r="O664" s="462"/>
      <c r="P664" s="453"/>
      <c r="Q664" s="453"/>
      <c r="R664" s="454"/>
      <c r="S664" s="455"/>
    </row>
    <row r="665" spans="1:19" s="7" customFormat="1" x14ac:dyDescent="0.15">
      <c r="A665" s="463">
        <v>99350193618</v>
      </c>
      <c r="B665" s="347" t="s">
        <v>610</v>
      </c>
      <c r="C665" s="448"/>
      <c r="D665" s="464" t="s">
        <v>607</v>
      </c>
      <c r="E665" s="459"/>
      <c r="F665" s="459"/>
      <c r="G665" s="465">
        <f>IF(H654&gt;0,H654*16,0)</f>
        <v>0</v>
      </c>
      <c r="H665" s="355"/>
      <c r="I665" s="353"/>
      <c r="J665" s="466"/>
      <c r="K665" s="355"/>
      <c r="L665" s="354"/>
      <c r="M665" s="355"/>
      <c r="O665" s="462"/>
      <c r="P665" s="453"/>
      <c r="Q665" s="453"/>
      <c r="R665" s="454"/>
      <c r="S665" s="455"/>
    </row>
    <row r="666" spans="1:19" s="7" customFormat="1" hidden="1" x14ac:dyDescent="0.15">
      <c r="A666" s="463"/>
      <c r="B666" s="347">
        <v>0</v>
      </c>
      <c r="C666" s="448"/>
      <c r="D666" s="464"/>
      <c r="E666" s="459"/>
      <c r="F666" s="459"/>
      <c r="G666" s="465"/>
      <c r="H666" s="355"/>
      <c r="I666" s="353"/>
      <c r="J666" s="466"/>
      <c r="K666" s="355"/>
      <c r="L666" s="354"/>
      <c r="M666" s="355"/>
      <c r="O666" s="462"/>
      <c r="P666" s="453"/>
      <c r="Q666" s="453"/>
      <c r="R666" s="454"/>
      <c r="S666" s="455"/>
    </row>
    <row r="667" spans="1:19" s="7" customFormat="1" x14ac:dyDescent="0.15">
      <c r="A667" s="467" t="str">
        <f>A653</f>
        <v>W2023WED0015</v>
      </c>
      <c r="B667" s="468" t="s">
        <v>48</v>
      </c>
      <c r="C667" s="29"/>
      <c r="D667" s="458" t="s">
        <v>375</v>
      </c>
      <c r="E667" s="459"/>
      <c r="F667" s="459"/>
      <c r="G667" s="465">
        <f>IF(G655&gt;0,H654,0)</f>
        <v>0</v>
      </c>
      <c r="H667" s="355"/>
      <c r="I667" s="353"/>
      <c r="J667" s="466"/>
      <c r="K667" s="355"/>
      <c r="L667" s="354"/>
      <c r="M667" s="355"/>
      <c r="N667" s="469"/>
      <c r="O667" s="462"/>
      <c r="P667" s="453"/>
      <c r="Q667" s="453"/>
      <c r="R667" s="454"/>
      <c r="S667" s="455"/>
    </row>
    <row r="668" spans="1:19" hidden="1" x14ac:dyDescent="0.2">
      <c r="A668" s="240" t="s">
        <v>594</v>
      </c>
      <c r="B668" s="240"/>
      <c r="C668" s="241"/>
      <c r="D668" s="249" t="s">
        <v>608</v>
      </c>
      <c r="E668" s="475"/>
      <c r="F668" s="341" t="e">
        <f>IF(AND(#REF!&gt;0,(N668+(IF(H670&gt;0,(H670*16000)*-1,0)))&gt;=#REF!*9000),#REF!*9000,0)</f>
        <v>#REF!</v>
      </c>
      <c r="G668" s="273"/>
      <c r="H668" s="475"/>
      <c r="I668" s="451" t="e">
        <f>SUM(F668)</f>
        <v>#REF!</v>
      </c>
      <c r="J668" s="583" t="e">
        <f>IF(AND(#REF!&gt;0,SUM(#REF!)=#REF!),"PZAS PROMOCIONALES CORRECTAS","NO CUMPLE CON PZAS EN PROMOCION")</f>
        <v>#REF!</v>
      </c>
      <c r="K668" s="584"/>
      <c r="L668" s="584"/>
      <c r="M668" s="585"/>
      <c r="N668" s="470">
        <f>SUM(K398:K465)+SUM(K494:K514)</f>
        <v>0</v>
      </c>
    </row>
    <row r="669" spans="1:19" x14ac:dyDescent="0.2">
      <c r="A669" s="240" t="s">
        <v>623</v>
      </c>
      <c r="B669" s="240"/>
      <c r="C669" s="241"/>
      <c r="D669" s="249" t="s">
        <v>660</v>
      </c>
      <c r="E669" s="475"/>
      <c r="F669" s="539">
        <f>IF(AND(H670&gt;0,(N669+(IF(F639&gt;0,(H640*20000)*-1,0)+IF(H647&gt;0,(H647*28000)*-1,0)))&gt;=H670*16000),H670*16000,0)</f>
        <v>0</v>
      </c>
      <c r="G669" s="475"/>
      <c r="H669" s="475"/>
      <c r="I669" s="451">
        <f>SUM(F669)</f>
        <v>0</v>
      </c>
      <c r="J669" s="586" t="str">
        <f>IF(G671&gt;0,"PZAS PROMOCIONALES CORRECTAS","NO CUMPLE CON PZAS EN PROMOCION")</f>
        <v>NO CUMPLE CON PZAS EN PROMOCION</v>
      </c>
      <c r="K669" s="586"/>
      <c r="L669" s="586"/>
      <c r="M669" s="586"/>
      <c r="N669" s="341">
        <f>SUM(K467:K481)+SUM(K483:K492)</f>
        <v>0</v>
      </c>
    </row>
    <row r="670" spans="1:19" ht="16.350000000000001" customHeight="1" thickBot="1" x14ac:dyDescent="0.25">
      <c r="A670" s="242" t="str">
        <f>+A669</f>
        <v>W2023WED0016</v>
      </c>
      <c r="B670" s="10" t="s">
        <v>48</v>
      </c>
      <c r="C670" s="243"/>
      <c r="D670" s="248" t="s">
        <v>375</v>
      </c>
      <c r="E670" s="244"/>
      <c r="F670" s="245"/>
      <c r="G670" s="284">
        <f>IF(H670&gt;0,H670,0)</f>
        <v>0</v>
      </c>
      <c r="H670" s="474">
        <v>0</v>
      </c>
      <c r="I670" s="461" t="s">
        <v>597</v>
      </c>
      <c r="J670" s="391"/>
      <c r="K670" s="391"/>
      <c r="L670" s="391"/>
      <c r="M670" s="391"/>
    </row>
    <row r="671" spans="1:19" x14ac:dyDescent="0.2">
      <c r="A671" s="242">
        <v>99350193641</v>
      </c>
      <c r="B671" s="347" t="s">
        <v>610</v>
      </c>
      <c r="C671" s="243"/>
      <c r="D671" s="350" t="s">
        <v>602</v>
      </c>
      <c r="E671" s="391"/>
      <c r="F671" s="391"/>
      <c r="G671" s="523">
        <f>IF(AND(H670&gt;0,F669&gt;=H670*16000),H670*2,0)</f>
        <v>0</v>
      </c>
      <c r="H671" s="391"/>
      <c r="I671" s="391"/>
      <c r="J671" s="391"/>
      <c r="K671" s="391"/>
      <c r="L671" s="391"/>
      <c r="M671" s="391"/>
    </row>
    <row r="672" spans="1:19" x14ac:dyDescent="0.2">
      <c r="A672" s="242">
        <v>4064666580050</v>
      </c>
      <c r="B672" s="347" t="s">
        <v>463</v>
      </c>
      <c r="C672" s="243"/>
      <c r="D672" s="350" t="s">
        <v>469</v>
      </c>
      <c r="E672" s="391"/>
      <c r="F672" s="391"/>
      <c r="G672" s="523">
        <f>IF(G671&gt;0,H670,0)</f>
        <v>0</v>
      </c>
      <c r="H672" s="391"/>
      <c r="I672" s="391"/>
      <c r="J672" s="391"/>
      <c r="K672" s="391"/>
      <c r="L672" s="391"/>
      <c r="M672" s="391"/>
    </row>
    <row r="673" spans="1:14" ht="15.75" thickBot="1" x14ac:dyDescent="0.25">
      <c r="A673" s="240" t="s">
        <v>670</v>
      </c>
      <c r="B673" s="240"/>
      <c r="C673" s="241"/>
      <c r="D673" s="249" t="s">
        <v>661</v>
      </c>
      <c r="E673" s="273"/>
      <c r="F673" s="341">
        <f>IF(AND(H674&gt;0,(N673+(IF(H682&gt;0,(H682*15000)*-1,0)+IF(H697&gt;0,(F696-O696)*-1,0)))&gt;=H674*9000),H674*9000,0)</f>
        <v>0</v>
      </c>
      <c r="G673" s="475"/>
      <c r="H673" s="475"/>
      <c r="I673" s="451">
        <f>SUM(F673)</f>
        <v>0</v>
      </c>
      <c r="J673" s="586" t="str">
        <f>IF(AND(G675&gt;0,SUM(G676:G679)=G675,G675&gt;0),"PZAS PROMOCIONALES CORRECTAS","NO CUMPLE CON PZAS EN PROMOCION")</f>
        <v>NO CUMPLE CON PZAS EN PROMOCION</v>
      </c>
      <c r="K673" s="586"/>
      <c r="L673" s="586"/>
      <c r="M673" s="586"/>
      <c r="N673" s="341">
        <f>I20+I21+I25+I24</f>
        <v>0</v>
      </c>
    </row>
    <row r="674" spans="1:14" ht="16.350000000000001" customHeight="1" thickBot="1" x14ac:dyDescent="0.25">
      <c r="A674" s="242" t="str">
        <f>+A673</f>
        <v>W2023WED0017</v>
      </c>
      <c r="B674" s="10" t="s">
        <v>48</v>
      </c>
      <c r="C674" s="243"/>
      <c r="D674" s="248" t="s">
        <v>375</v>
      </c>
      <c r="E674" s="244"/>
      <c r="F674" s="245"/>
      <c r="G674" s="523">
        <f>IF(G675&gt;0,H674,0)</f>
        <v>0</v>
      </c>
      <c r="H674" s="524">
        <v>0</v>
      </c>
      <c r="I674" s="461" t="s">
        <v>597</v>
      </c>
      <c r="J674" s="246"/>
      <c r="K674" s="391"/>
      <c r="L674" s="391"/>
      <c r="M674" s="391"/>
    </row>
    <row r="675" spans="1:14" x14ac:dyDescent="0.2">
      <c r="A675" s="242"/>
      <c r="B675" s="347"/>
      <c r="C675" s="243"/>
      <c r="D675" s="530" t="s">
        <v>681</v>
      </c>
      <c r="E675" s="391"/>
      <c r="F675" s="391"/>
      <c r="G675" s="523">
        <f>IF(AND(H674&gt;0,F673&gt;=H674*9000),H674*3,0)</f>
        <v>0</v>
      </c>
      <c r="H675" s="391"/>
      <c r="I675" s="391"/>
      <c r="J675" s="391"/>
      <c r="K675" s="391"/>
      <c r="L675" s="391"/>
      <c r="M675" s="391"/>
    </row>
    <row r="676" spans="1:14" x14ac:dyDescent="0.2">
      <c r="A676" s="242">
        <v>8005610672243</v>
      </c>
      <c r="B676" s="347" t="s">
        <v>43</v>
      </c>
      <c r="C676" s="243"/>
      <c r="D676" s="242" t="s">
        <v>263</v>
      </c>
      <c r="E676" s="526"/>
      <c r="F676" s="527"/>
      <c r="G676" s="576">
        <v>0</v>
      </c>
      <c r="H676" s="391"/>
      <c r="I676" s="391"/>
      <c r="J676" s="391"/>
      <c r="K676" s="391"/>
      <c r="L676" s="391"/>
      <c r="M676" s="391"/>
    </row>
    <row r="677" spans="1:14" x14ac:dyDescent="0.2">
      <c r="A677" s="242">
        <v>8005610672427</v>
      </c>
      <c r="B677" s="347" t="s">
        <v>43</v>
      </c>
      <c r="C677" s="243"/>
      <c r="D677" s="242" t="s">
        <v>271</v>
      </c>
      <c r="E677" s="526"/>
      <c r="F677" s="527"/>
      <c r="G677" s="576">
        <v>0</v>
      </c>
      <c r="H677" s="391"/>
      <c r="I677" s="391"/>
      <c r="J677" s="391"/>
      <c r="K677" s="391"/>
      <c r="L677" s="391"/>
      <c r="M677" s="391"/>
    </row>
    <row r="678" spans="1:14" x14ac:dyDescent="0.2">
      <c r="A678" s="242">
        <v>8005610642796</v>
      </c>
      <c r="B678" s="347" t="s">
        <v>43</v>
      </c>
      <c r="C678" s="243"/>
      <c r="D678" s="242" t="s">
        <v>279</v>
      </c>
      <c r="E678" s="526"/>
      <c r="F678" s="527"/>
      <c r="G678" s="576">
        <v>0</v>
      </c>
      <c r="H678" s="391"/>
      <c r="I678" s="391"/>
      <c r="J678" s="391"/>
      <c r="K678" s="391"/>
      <c r="L678" s="391"/>
      <c r="M678" s="391"/>
    </row>
    <row r="679" spans="1:14" x14ac:dyDescent="0.2">
      <c r="A679" s="242">
        <v>8005610642529</v>
      </c>
      <c r="B679" s="347" t="s">
        <v>43</v>
      </c>
      <c r="C679" s="243"/>
      <c r="D679" s="242" t="s">
        <v>287</v>
      </c>
      <c r="E679" s="526"/>
      <c r="F679" s="527"/>
      <c r="G679" s="576">
        <v>0</v>
      </c>
      <c r="H679" s="391"/>
      <c r="I679" s="391"/>
      <c r="J679" s="391"/>
      <c r="K679" s="391"/>
      <c r="L679" s="391"/>
      <c r="M679" s="391"/>
    </row>
    <row r="680" spans="1:14" x14ac:dyDescent="0.2">
      <c r="A680" s="525" t="s">
        <v>662</v>
      </c>
      <c r="B680" s="10" t="s">
        <v>48</v>
      </c>
      <c r="C680" s="243"/>
      <c r="D680" s="579" t="s">
        <v>663</v>
      </c>
      <c r="E680" s="526"/>
      <c r="F680" s="527"/>
      <c r="G680" s="523">
        <f>IF(G675&gt;0,H674*6,0)</f>
        <v>0</v>
      </c>
      <c r="H680" s="391"/>
      <c r="I680" s="391"/>
      <c r="J680" s="391"/>
      <c r="K680" s="391"/>
      <c r="L680" s="391"/>
      <c r="M680" s="391"/>
    </row>
    <row r="681" spans="1:14" ht="21.75" thickBot="1" x14ac:dyDescent="0.25">
      <c r="A681" s="240" t="s">
        <v>671</v>
      </c>
      <c r="B681" s="240"/>
      <c r="C681" s="241"/>
      <c r="D681" s="249" t="s">
        <v>664</v>
      </c>
      <c r="E681" s="273"/>
      <c r="F681" s="341">
        <f>IF(AND(H682&gt;0,(N673+(IF(H674&gt;0,(H674*9000)*-1,0)+IF(H697&gt;0,(F696-O696)*-1,0)))&gt;=H682*15000),H682*15000,0)</f>
        <v>0</v>
      </c>
      <c r="G681" s="475"/>
      <c r="H681" s="475"/>
      <c r="I681" s="451">
        <f>SUM(F681)</f>
        <v>0</v>
      </c>
      <c r="J681" s="586" t="str">
        <f>IF(AND(G683&gt;0,SUM(G684:G687)=G683),"PZAS PROMOCIONALES CORRECTAS","NO CUMPLE CON PZAS EN PROMOCION")</f>
        <v>NO CUMPLE CON PZAS EN PROMOCION</v>
      </c>
      <c r="K681" s="586"/>
      <c r="L681" s="586"/>
      <c r="M681" s="586"/>
    </row>
    <row r="682" spans="1:14" ht="16.350000000000001" customHeight="1" thickBot="1" x14ac:dyDescent="0.25">
      <c r="A682" s="242" t="str">
        <f>+A681</f>
        <v>W2023WED0018</v>
      </c>
      <c r="B682" s="10" t="s">
        <v>48</v>
      </c>
      <c r="C682" s="243"/>
      <c r="D682" s="248" t="s">
        <v>375</v>
      </c>
      <c r="E682" s="244"/>
      <c r="F682" s="245"/>
      <c r="G682" s="523">
        <f>IF(G683&gt;0,H682,0)</f>
        <v>0</v>
      </c>
      <c r="H682" s="524">
        <v>0</v>
      </c>
      <c r="I682" s="461" t="s">
        <v>597</v>
      </c>
      <c r="J682" s="246"/>
      <c r="K682" s="391"/>
      <c r="L682" s="391"/>
      <c r="M682" s="391"/>
    </row>
    <row r="683" spans="1:14" x14ac:dyDescent="0.2">
      <c r="A683" s="242"/>
      <c r="B683" s="347"/>
      <c r="C683" s="243"/>
      <c r="D683" s="530" t="s">
        <v>643</v>
      </c>
      <c r="E683" s="244"/>
      <c r="F683" s="245"/>
      <c r="G683" s="523">
        <f>IF(AND(H682&gt;0,F681&gt;=H682*15000),H682*3,0)</f>
        <v>0</v>
      </c>
      <c r="H683" s="391"/>
      <c r="I683" s="391"/>
      <c r="J683" s="391"/>
      <c r="K683" s="391"/>
      <c r="L683" s="391"/>
      <c r="M683" s="391"/>
    </row>
    <row r="684" spans="1:14" x14ac:dyDescent="0.2">
      <c r="A684" s="242">
        <v>8005610415871</v>
      </c>
      <c r="B684" s="347" t="s">
        <v>44</v>
      </c>
      <c r="C684" s="243"/>
      <c r="D684" s="242" t="s">
        <v>301</v>
      </c>
      <c r="E684" s="526"/>
      <c r="F684" s="527"/>
      <c r="G684" s="576">
        <v>0</v>
      </c>
      <c r="H684" s="391"/>
      <c r="I684" s="391"/>
      <c r="J684" s="391"/>
      <c r="K684" s="391"/>
      <c r="L684" s="391"/>
      <c r="M684" s="391"/>
    </row>
    <row r="685" spans="1:14" x14ac:dyDescent="0.2">
      <c r="A685" s="242">
        <v>99240061030</v>
      </c>
      <c r="B685" s="347" t="s">
        <v>44</v>
      </c>
      <c r="C685" s="243"/>
      <c r="D685" s="242" t="s">
        <v>308</v>
      </c>
      <c r="E685" s="526"/>
      <c r="F685" s="527"/>
      <c r="G685" s="576">
        <v>0</v>
      </c>
      <c r="H685" s="391"/>
      <c r="I685" s="391"/>
      <c r="J685" s="391"/>
      <c r="K685" s="391"/>
      <c r="L685" s="391"/>
      <c r="M685" s="391"/>
    </row>
    <row r="686" spans="1:14" x14ac:dyDescent="0.2">
      <c r="A686" s="242">
        <v>99240015892</v>
      </c>
      <c r="B686" s="347" t="s">
        <v>44</v>
      </c>
      <c r="C686" s="243"/>
      <c r="D686" s="242" t="s">
        <v>316</v>
      </c>
      <c r="E686" s="526"/>
      <c r="F686" s="527"/>
      <c r="G686" s="576">
        <v>0</v>
      </c>
      <c r="H686" s="391"/>
      <c r="I686" s="391"/>
      <c r="J686" s="391"/>
      <c r="K686" s="391"/>
      <c r="L686" s="391"/>
      <c r="M686" s="391"/>
    </row>
    <row r="687" spans="1:14" x14ac:dyDescent="0.2">
      <c r="A687" s="242">
        <v>99350104200</v>
      </c>
      <c r="B687" s="347" t="s">
        <v>44</v>
      </c>
      <c r="C687" s="243"/>
      <c r="D687" s="242" t="s">
        <v>325</v>
      </c>
      <c r="E687" s="526"/>
      <c r="F687" s="527"/>
      <c r="G687" s="576">
        <v>0</v>
      </c>
      <c r="H687" s="391"/>
      <c r="I687" s="391"/>
      <c r="J687" s="391"/>
      <c r="K687" s="391"/>
      <c r="L687" s="391"/>
      <c r="M687" s="391"/>
    </row>
    <row r="688" spans="1:14" x14ac:dyDescent="0.2">
      <c r="A688" s="525" t="s">
        <v>662</v>
      </c>
      <c r="B688" s="347" t="s">
        <v>48</v>
      </c>
      <c r="C688" s="243"/>
      <c r="D688" s="348" t="s">
        <v>663</v>
      </c>
      <c r="E688" s="391"/>
      <c r="F688" s="391"/>
      <c r="G688" s="284">
        <f>IF(G683&gt;0,H682*9,0)</f>
        <v>0</v>
      </c>
      <c r="H688" s="391"/>
      <c r="I688" s="391"/>
      <c r="J688" s="391"/>
      <c r="K688" s="391"/>
      <c r="L688" s="391"/>
      <c r="M688" s="391"/>
    </row>
    <row r="689" spans="1:15" ht="15.75" thickBot="1" x14ac:dyDescent="0.25">
      <c r="A689" s="240" t="s">
        <v>672</v>
      </c>
      <c r="B689" s="240"/>
      <c r="C689" s="241"/>
      <c r="D689" s="249" t="s">
        <v>665</v>
      </c>
      <c r="E689" s="273"/>
      <c r="F689" s="341">
        <f>IF(AND(H690&gt;0,(N689+(IF(H693&gt;0,(H693*15000)*-1,0)+IF(H697&gt;0,(F696-N696)*-1,0)))&gt;=H690*8000),H690*8000,0)</f>
        <v>0</v>
      </c>
      <c r="G689" s="475"/>
      <c r="H689" s="475"/>
      <c r="I689" s="451">
        <f>SUM(F689)</f>
        <v>0</v>
      </c>
      <c r="J689" s="586" t="str">
        <f>IF(AND(G691&gt;0),"PZAS PROMOCIONALES CORRECTAS","NO CUMPLE CON PZAS EN PROMOCION")</f>
        <v>NO CUMPLE CON PZAS EN PROMOCION</v>
      </c>
      <c r="K689" s="586"/>
      <c r="L689" s="586"/>
      <c r="M689" s="586"/>
      <c r="N689" s="341">
        <f>I26</f>
        <v>0</v>
      </c>
    </row>
    <row r="690" spans="1:15" ht="16.350000000000001" customHeight="1" thickBot="1" x14ac:dyDescent="0.25">
      <c r="A690" s="242" t="str">
        <f>+A689</f>
        <v>W2023WED0019</v>
      </c>
      <c r="B690" s="10" t="s">
        <v>48</v>
      </c>
      <c r="C690" s="243"/>
      <c r="D690" s="248" t="s">
        <v>375</v>
      </c>
      <c r="E690" s="244"/>
      <c r="F690" s="245"/>
      <c r="G690" s="523">
        <f>IF(G691&gt;0,H690,0)</f>
        <v>0</v>
      </c>
      <c r="H690" s="524">
        <v>0</v>
      </c>
      <c r="I690" s="461" t="s">
        <v>597</v>
      </c>
      <c r="J690" s="246"/>
      <c r="K690" s="391"/>
      <c r="L690" s="391"/>
      <c r="M690" s="391"/>
    </row>
    <row r="691" spans="1:15" x14ac:dyDescent="0.2">
      <c r="A691" s="242">
        <v>99350181110</v>
      </c>
      <c r="B691" s="347" t="s">
        <v>577</v>
      </c>
      <c r="C691" s="243"/>
      <c r="D691" s="248" t="s">
        <v>666</v>
      </c>
      <c r="E691" s="391"/>
      <c r="F691" s="391"/>
      <c r="G691" s="523">
        <f>IF(AND(H690&gt;0,F689&gt;=H690*8000),H690*2,0)</f>
        <v>0</v>
      </c>
      <c r="H691" s="391"/>
      <c r="I691" s="391"/>
      <c r="J691" s="391"/>
      <c r="K691" s="391"/>
      <c r="L691" s="391"/>
      <c r="M691" s="391"/>
    </row>
    <row r="692" spans="1:15" ht="15.75" thickBot="1" x14ac:dyDescent="0.25">
      <c r="A692" s="240" t="s">
        <v>677</v>
      </c>
      <c r="B692" s="240"/>
      <c r="C692" s="241"/>
      <c r="D692" s="249" t="s">
        <v>667</v>
      </c>
      <c r="E692" s="273"/>
      <c r="F692" s="341">
        <f>IF(AND(H693&gt;0,(N689+(IF(H690&gt;0,(H690*8000)*-1,0)+IF(H697&gt;0,(F696-N696)*-1,0)))&gt;=H693*15000),H693*15000,0)</f>
        <v>0</v>
      </c>
      <c r="G692" s="475"/>
      <c r="H692" s="475"/>
      <c r="I692" s="451">
        <f>SUM(F692)</f>
        <v>0</v>
      </c>
      <c r="J692" s="586" t="str">
        <f>IF(AND(G694&gt;0),"PZAS PROMOCIONALES CORRECTAS","NO CUMPLE CON PZAS EN PROMOCION")</f>
        <v>NO CUMPLE CON PZAS EN PROMOCION</v>
      </c>
      <c r="K692" s="586"/>
      <c r="L692" s="586"/>
      <c r="M692" s="586"/>
    </row>
    <row r="693" spans="1:15" ht="16.350000000000001" customHeight="1" thickBot="1" x14ac:dyDescent="0.25">
      <c r="A693" s="242" t="str">
        <f>+A692</f>
        <v>W2023WED0020</v>
      </c>
      <c r="B693" s="10" t="s">
        <v>48</v>
      </c>
      <c r="C693" s="243"/>
      <c r="D693" s="248" t="s">
        <v>375</v>
      </c>
      <c r="E693" s="244"/>
      <c r="F693" s="245"/>
      <c r="G693" s="523">
        <f>IF(G694&gt;0,H693,0)</f>
        <v>0</v>
      </c>
      <c r="H693" s="524">
        <v>0</v>
      </c>
      <c r="I693" s="461" t="s">
        <v>597</v>
      </c>
      <c r="J693" s="246"/>
      <c r="K693" s="391"/>
      <c r="L693" s="391"/>
      <c r="M693" s="391"/>
    </row>
    <row r="694" spans="1:15" ht="16.350000000000001" customHeight="1" x14ac:dyDescent="0.2">
      <c r="A694" s="242">
        <v>99350180515</v>
      </c>
      <c r="B694" s="347" t="s">
        <v>577</v>
      </c>
      <c r="C694" s="243"/>
      <c r="D694" s="248" t="s">
        <v>668</v>
      </c>
      <c r="E694" s="244"/>
      <c r="F694" s="245"/>
      <c r="G694" s="523">
        <f>IF(AND(H693&gt;0,F692&gt;=H693*15000),H693*3,0)</f>
        <v>0</v>
      </c>
      <c r="H694" s="391"/>
      <c r="I694" s="528"/>
      <c r="J694" s="529"/>
      <c r="K694" s="391"/>
      <c r="L694" s="391"/>
      <c r="M694" s="391"/>
    </row>
    <row r="695" spans="1:15" x14ac:dyDescent="0.2">
      <c r="A695" s="242">
        <v>99350180529</v>
      </c>
      <c r="B695" s="347" t="s">
        <v>577</v>
      </c>
      <c r="C695" s="243"/>
      <c r="D695" s="242" t="s">
        <v>669</v>
      </c>
      <c r="E695" s="526"/>
      <c r="F695" s="527"/>
      <c r="G695" s="523">
        <f>IF(G694&gt;0,H693*15,0)</f>
        <v>0</v>
      </c>
      <c r="H695" s="391"/>
      <c r="I695" s="391"/>
      <c r="J695" s="391"/>
      <c r="K695" s="391"/>
      <c r="L695" s="391"/>
      <c r="M695" s="391"/>
    </row>
    <row r="696" spans="1:15" ht="15.75" thickBot="1" x14ac:dyDescent="0.25">
      <c r="A696" s="240" t="s">
        <v>678</v>
      </c>
      <c r="B696" s="240"/>
      <c r="C696" s="241"/>
      <c r="D696" s="249" t="s">
        <v>673</v>
      </c>
      <c r="E696" s="273"/>
      <c r="F696" s="341">
        <f>IF(AND(H697&gt;0,(((N696+(IF(H674&gt;0,(H674*9000)*-1,0)+IF(H682&gt;0,(H682*15000)*-1,0)))+(O696+(IF(H690&gt;0,(H690*8000)*-1,0)+IF(H693&gt;0,(H693*15000)*-1,0))))&gt;=H697*19000)),H697*19000,0)</f>
        <v>0</v>
      </c>
      <c r="G696" s="475"/>
      <c r="H696" s="475"/>
      <c r="I696" s="451">
        <f>SUM(F696)</f>
        <v>0</v>
      </c>
      <c r="J696" s="586" t="str">
        <f>IF(AND(G698&gt;0),"PZAS PROMOCIONALES CORRECTAS","NO CUMPLE CON PZAS EN PROMOCION")</f>
        <v>NO CUMPLE CON PZAS EN PROMOCION</v>
      </c>
      <c r="K696" s="586"/>
      <c r="L696" s="586"/>
      <c r="M696" s="586"/>
      <c r="N696" s="341">
        <f>I20+I21+I24+I25</f>
        <v>0</v>
      </c>
      <c r="O696" s="341">
        <f>I26</f>
        <v>0</v>
      </c>
    </row>
    <row r="697" spans="1:15" ht="16.350000000000001" customHeight="1" thickBot="1" x14ac:dyDescent="0.25">
      <c r="A697" s="242" t="str">
        <f>+A696</f>
        <v>W2023WED0021</v>
      </c>
      <c r="B697" s="10" t="s">
        <v>48</v>
      </c>
      <c r="C697" s="243"/>
      <c r="D697" s="248" t="s">
        <v>375</v>
      </c>
      <c r="E697" s="244"/>
      <c r="F697" s="245"/>
      <c r="G697" s="523">
        <f>IF(G698&gt;0,H697,0)</f>
        <v>0</v>
      </c>
      <c r="H697" s="524">
        <v>0</v>
      </c>
      <c r="I697" s="461" t="s">
        <v>597</v>
      </c>
      <c r="J697" s="246"/>
      <c r="K697" s="391"/>
      <c r="L697" s="391"/>
      <c r="M697" s="391"/>
    </row>
    <row r="698" spans="1:15" ht="16.350000000000001" customHeight="1" x14ac:dyDescent="0.2">
      <c r="A698" s="242" t="s">
        <v>674</v>
      </c>
      <c r="B698" s="347" t="s">
        <v>48</v>
      </c>
      <c r="C698" s="243"/>
      <c r="D698" s="248" t="s">
        <v>675</v>
      </c>
      <c r="E698" s="244"/>
      <c r="F698" s="245"/>
      <c r="G698" s="523">
        <f>IF(AND(H697&gt;0,F696&gt;=H697*19000),H697,0)</f>
        <v>0</v>
      </c>
      <c r="H698" s="391"/>
      <c r="I698" s="528"/>
      <c r="J698" s="529"/>
      <c r="K698" s="391"/>
      <c r="L698" s="391"/>
      <c r="M698" s="391"/>
    </row>
    <row r="699" spans="1:15" s="298" customFormat="1" ht="22.5" customHeight="1" x14ac:dyDescent="0.2">
      <c r="A699" s="286"/>
      <c r="B699" s="287"/>
      <c r="C699" s="288"/>
      <c r="D699" s="289"/>
      <c r="E699" s="290"/>
      <c r="F699" s="291"/>
      <c r="G699" s="292"/>
      <c r="H699" s="293"/>
      <c r="I699" s="294"/>
      <c r="J699" s="295"/>
      <c r="K699" s="296"/>
      <c r="L699" s="295"/>
      <c r="M699" s="297"/>
    </row>
    <row r="700" spans="1:15" hidden="1" x14ac:dyDescent="0.2">
      <c r="A700" s="443">
        <v>46171.227083333331</v>
      </c>
    </row>
    <row r="701" spans="1:15" hidden="1" x14ac:dyDescent="0.2">
      <c r="A701" s="443">
        <v>46203.395833333336</v>
      </c>
    </row>
    <row r="702" spans="1:15" hidden="1" x14ac:dyDescent="0.2">
      <c r="A702" s="519">
        <v>46225.453472222223</v>
      </c>
    </row>
    <row r="704" spans="1:15" x14ac:dyDescent="0.2">
      <c r="A704" s="582">
        <v>46269.435416666667</v>
      </c>
    </row>
    <row r="705" spans="1:1" x14ac:dyDescent="0.2"/>
    <row r="706" spans="1:1" x14ac:dyDescent="0.2"/>
    <row r="707" spans="1:1" x14ac:dyDescent="0.2"/>
    <row r="708" spans="1:1" x14ac:dyDescent="0.2">
      <c r="A708" s="443">
        <v>46262.69027777778</v>
      </c>
    </row>
    <row r="709" spans="1:1" x14ac:dyDescent="0.2"/>
    <row r="710" spans="1:1" x14ac:dyDescent="0.2"/>
    <row r="711" spans="1:1" hidden="1" x14ac:dyDescent="0.2">
      <c r="A711" s="444">
        <v>46188.166666666664</v>
      </c>
    </row>
    <row r="712" spans="1:1" x14ac:dyDescent="0.2"/>
    <row r="713" spans="1:1" x14ac:dyDescent="0.2"/>
    <row r="715" spans="1:1" x14ac:dyDescent="0.2"/>
    <row r="716" spans="1:1" x14ac:dyDescent="0.2"/>
    <row r="717" spans="1:1" x14ac:dyDescent="0.2"/>
    <row r="718" spans="1:1" x14ac:dyDescent="0.2"/>
    <row r="719" spans="1:1" x14ac:dyDescent="0.2"/>
    <row r="720" spans="1:1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</sheetData>
  <sheetProtection algorithmName="SHA-512" hashValue="b/l8zVkcJRN23PY+u15aztaC/wH40CZC7BDXtEahoEb8YTMb48+MOT0xWP9ahNHLWeFJ5AabGqAJsjZxEcMSHQ==" saltValue="HXFXU5ahcvddqfOhpXpG8w==" spinCount="100000" sheet="1" objects="1" scenarios="1"/>
  <mergeCells count="27">
    <mergeCell ref="J696:M696"/>
    <mergeCell ref="J689:M689"/>
    <mergeCell ref="J692:M692"/>
    <mergeCell ref="S1:T1"/>
    <mergeCell ref="L2:M12"/>
    <mergeCell ref="L13:M13"/>
    <mergeCell ref="L17:M17"/>
    <mergeCell ref="L21:M21"/>
    <mergeCell ref="J681:M681"/>
    <mergeCell ref="J673:M673"/>
    <mergeCell ref="J586:M586"/>
    <mergeCell ref="J590:M590"/>
    <mergeCell ref="J629:M629"/>
    <mergeCell ref="J606:M606"/>
    <mergeCell ref="J597:M597"/>
    <mergeCell ref="J594:M594"/>
    <mergeCell ref="J600:M600"/>
    <mergeCell ref="J603:M603"/>
    <mergeCell ref="J668:M668"/>
    <mergeCell ref="J669:M669"/>
    <mergeCell ref="J639:M639"/>
    <mergeCell ref="J615:M615"/>
    <mergeCell ref="J632:M632"/>
    <mergeCell ref="J635:M635"/>
    <mergeCell ref="J646:M646"/>
    <mergeCell ref="J609:M609"/>
    <mergeCell ref="J612:M612"/>
  </mergeCells>
  <phoneticPr fontId="9" type="noConversion"/>
  <conditionalFormatting sqref="A313">
    <cfRule type="duplicateValues" dxfId="196" priority="991"/>
  </conditionalFormatting>
  <conditionalFormatting sqref="A364 A428:A433 A459:A465 C577:C579 C586:C699">
    <cfRule type="expression" dxfId="195" priority="997">
      <formula>IF($C364="Riesgo",1,0)</formula>
    </cfRule>
  </conditionalFormatting>
  <conditionalFormatting sqref="A391:A392 D493:E514">
    <cfRule type="expression" dxfId="194" priority="993">
      <formula>IF($C391="Riesgo",1,0)</formula>
    </cfRule>
  </conditionalFormatting>
  <conditionalFormatting sqref="A571:A572">
    <cfRule type="expression" dxfId="193" priority="215">
      <formula>IF($C571="Riesgo",1,0)</formula>
    </cfRule>
    <cfRule type="expression" dxfId="192" priority="216">
      <formula>IF($C571="Faltante",1,0)</formula>
    </cfRule>
  </conditionalFormatting>
  <conditionalFormatting sqref="A33:B110 D33:D110 C33:C576 A32:D32">
    <cfRule type="expression" dxfId="191" priority="280">
      <formula>IF($C32="Faltante",1,0)</formula>
    </cfRule>
  </conditionalFormatting>
  <conditionalFormatting sqref="A33:B110 D33:D110 C33:C576">
    <cfRule type="expression" dxfId="190" priority="279">
      <formula>IF($C33="Riesgo",1,0)</formula>
    </cfRule>
  </conditionalFormatting>
  <conditionalFormatting sqref="A111:B111 D111:E111">
    <cfRule type="expression" dxfId="189" priority="655">
      <formula>IF($C111="Riesgo",1,0)</formula>
    </cfRule>
    <cfRule type="expression" dxfId="188" priority="654">
      <formula>IF($C111="Faltante",1,0)</formula>
    </cfRule>
  </conditionalFormatting>
  <conditionalFormatting sqref="A112:B114 A118:B118 A124:B129 D124:D129 A131:B131 D131 A133:B133 D133 A137:B138 D137:D138 A140:B141 D140:D141 A143:B143 D143 A145:B149 D145:D149 A151:B160 D151:D160 A163:B163 D163 A165:B166 D165:D166 A168:B169 D168:D169 A171:B173 D171:D173 A175:B181 D175:D181 A185:B189 D185:D189 A191:B192 D191:D192 A194:B194 D194 A196:B196 D196">
    <cfRule type="expression" dxfId="187" priority="275">
      <formula>IF($C112="Riesgo",1,0)</formula>
    </cfRule>
  </conditionalFormatting>
  <conditionalFormatting sqref="A112:B114 A118:B118 D118:D198 A124:B129 A131:B131 A133:B133 A137:B138 A140:B141 A143:B143 A145:B149 A151:B160 A163:B163 A165:B166 A168:B169 A171:B173 A175:B181 A185:B189 A191:B192 A194:B194 A196:B196 D112:D114 B115:B117 B119:B123 B130 B132 B134:B136 B139 B142 B144 B150 B161:B162 B164 B167 B170 B174 B182:B184 B190 B193 B195 B197:B198">
    <cfRule type="expression" dxfId="186" priority="276">
      <formula>IF($C112="Faltante",1,0)</formula>
    </cfRule>
  </conditionalFormatting>
  <conditionalFormatting sqref="A199:B199 D199:E199 A258:B266 D258:E266 A313:B313 D313:E313 C583:C584 B690">
    <cfRule type="expression" dxfId="185" priority="428">
      <formula>IF($C199="Faltante",1,0)</formula>
    </cfRule>
  </conditionalFormatting>
  <conditionalFormatting sqref="A199:B199 D199:E199 D258:E266">
    <cfRule type="expression" dxfId="184" priority="985">
      <formula>IF($C199="Riesgo",1,0)</formula>
    </cfRule>
  </conditionalFormatting>
  <conditionalFormatting sqref="A200:B257 D200:E257 A516:A524 A557:A569">
    <cfRule type="expression" dxfId="183" priority="246">
      <formula>IF($C200="Riesgo",1,0)</formula>
    </cfRule>
    <cfRule type="expression" dxfId="182" priority="247">
      <formula>IF($C200="Faltante",1,0)</formula>
    </cfRule>
  </conditionalFormatting>
  <conditionalFormatting sqref="A267:B312 D267:E312">
    <cfRule type="expression" dxfId="181" priority="266">
      <formula>IF($C267="Riesgo",1,0)</formula>
    </cfRule>
    <cfRule type="expression" dxfId="180" priority="267">
      <formula>IF($C267="Faltante",1,0)</formula>
    </cfRule>
  </conditionalFormatting>
  <conditionalFormatting sqref="A314:B353 D318:E318 D320:D323 D325:D330 D332:D336 D338:D348 D349:E350">
    <cfRule type="expression" dxfId="179" priority="262">
      <formula>IF($C314="Riesgo",1,0)</formula>
    </cfRule>
    <cfRule type="expression" dxfId="178" priority="263">
      <formula>IF($C314="Faltante",1,0)</formula>
    </cfRule>
  </conditionalFormatting>
  <conditionalFormatting sqref="A354:B354 A381:A383 A384:B384 A385:A389 A390:B390 A393:B393 A394:A396 A397:B397 A405:B405 A414:B414 A415:A417 A418:B418 A422:B422 A427:B427 A434:B434 A435:A441 A442:B442 A450:B450 A458:B458 A493:B493 A494:A496 A497:B497 A498 A499:B499 A500:A501 A502:B502 A503:A505 A506:B506 A507:A510 A512:A514 A258:B258 A259:A266">
    <cfRule type="expression" dxfId="177" priority="1000">
      <formula>IF($C258="Riesgo",1,0)</formula>
    </cfRule>
  </conditionalFormatting>
  <conditionalFormatting sqref="A362:B362">
    <cfRule type="expression" dxfId="176" priority="457">
      <formula>IF($C362="Faltante",1,0)</formula>
    </cfRule>
    <cfRule type="expression" dxfId="175" priority="458">
      <formula>IF($C362="Riesgo",1,0)</formula>
    </cfRule>
  </conditionalFormatting>
  <conditionalFormatting sqref="A365:B365 D365">
    <cfRule type="expression" dxfId="174" priority="290">
      <formula>IF($C365="Faltante",1,0)</formula>
    </cfRule>
  </conditionalFormatting>
  <conditionalFormatting sqref="A366:B371 D369:E371">
    <cfRule type="expression" dxfId="173" priority="711">
      <formula>IF($C366="Riesgo",1,0)</formula>
    </cfRule>
    <cfRule type="expression" dxfId="172" priority="710">
      <formula>IF($C366="Faltante",1,0)</formula>
    </cfRule>
  </conditionalFormatting>
  <conditionalFormatting sqref="A372:B372">
    <cfRule type="expression" dxfId="171" priority="452">
      <formula>IF($C372="Riesgo",1,0)</formula>
    </cfRule>
    <cfRule type="expression" dxfId="170" priority="451">
      <formula>IF($C372="Faltante",1,0)</formula>
    </cfRule>
  </conditionalFormatting>
  <conditionalFormatting sqref="A377:B377">
    <cfRule type="expression" dxfId="169" priority="445">
      <formula>IF($C377="Faltante",1,0)</formula>
    </cfRule>
    <cfRule type="expression" dxfId="168" priority="446">
      <formula>IF($C377="Riesgo",1,0)</formula>
    </cfRule>
  </conditionalFormatting>
  <conditionalFormatting sqref="A380:B380">
    <cfRule type="expression" dxfId="167" priority="440">
      <formula>IF($C380="Riesgo",1,0)</formula>
    </cfRule>
    <cfRule type="expression" dxfId="166" priority="439">
      <formula>IF($C380="Faltante",1,0)</formula>
    </cfRule>
  </conditionalFormatting>
  <conditionalFormatting sqref="A457:B457 D457:E457">
    <cfRule type="expression" dxfId="165" priority="906">
      <formula>IF($C457="Faltante",1,0)</formula>
    </cfRule>
  </conditionalFormatting>
  <conditionalFormatting sqref="A457:B457">
    <cfRule type="expression" dxfId="164" priority="907">
      <formula>IF($C457="Riesgo",1,0)</formula>
    </cfRule>
  </conditionalFormatting>
  <conditionalFormatting sqref="A466:B470 B471 A472:B481">
    <cfRule type="expression" dxfId="163" priority="598">
      <formula>IF($C466="Riesgo",1,0)</formula>
    </cfRule>
    <cfRule type="expression" dxfId="162" priority="597">
      <formula>IF($C466="Faltante",1,0)</formula>
    </cfRule>
  </conditionalFormatting>
  <conditionalFormatting sqref="A482:B482">
    <cfRule type="duplicateValues" dxfId="161" priority="82"/>
  </conditionalFormatting>
  <conditionalFormatting sqref="A515:B515 A525:B525 A526:A531 A532:B532 A533:A542 A543:B543 A544:A549 A550:B550 A551:A555 A556:B556">
    <cfRule type="expression" dxfId="160" priority="259">
      <formula>IF($C515="Faltante",1,0)</formula>
    </cfRule>
    <cfRule type="expression" dxfId="159" priority="258">
      <formula>IF($C515="Riesgo",1,0)</formula>
    </cfRule>
  </conditionalFormatting>
  <conditionalFormatting sqref="A570:B570">
    <cfRule type="expression" dxfId="158" priority="228">
      <formula>IF($C570="Faltante",1,0)</formula>
    </cfRule>
    <cfRule type="expression" dxfId="157" priority="227">
      <formula>IF($C570="Riesgo",1,0)</formula>
    </cfRule>
  </conditionalFormatting>
  <conditionalFormatting sqref="A573:B576 D574:E576">
    <cfRule type="expression" dxfId="156" priority="732">
      <formula>IF($C573="Faltante",1,0)</formula>
    </cfRule>
    <cfRule type="expression" dxfId="155" priority="733">
      <formula>IF($C573="Riesgo",1,0)</formula>
    </cfRule>
  </conditionalFormatting>
  <conditionalFormatting sqref="A578:B578 D578:E578 E579:E580 A581:B581 D581:E581 A583:B584 D583:E584">
    <cfRule type="expression" dxfId="154" priority="475">
      <formula>IF($C578="Faltante",1,0)</formula>
    </cfRule>
  </conditionalFormatting>
  <conditionalFormatting sqref="A578:B578 D578:E578 E579:E580 A581:E581 A583:E584">
    <cfRule type="expression" dxfId="153" priority="476">
      <formula>IF($C578="Riesgo",1,0)</formula>
    </cfRule>
  </conditionalFormatting>
  <conditionalFormatting sqref="A579:B580 D579:D580">
    <cfRule type="expression" dxfId="152" priority="339">
      <formula>IF($C579="Faltante",1,0)</formula>
    </cfRule>
  </conditionalFormatting>
  <conditionalFormatting sqref="A579:B580">
    <cfRule type="expression" dxfId="151" priority="338">
      <formula>IF($C579="Riesgo",1,0)</formula>
    </cfRule>
  </conditionalFormatting>
  <conditionalFormatting sqref="A582:C582">
    <cfRule type="expression" dxfId="150" priority="325">
      <formula>IF($C582="Riesgo",1,0)</formula>
    </cfRule>
  </conditionalFormatting>
  <conditionalFormatting sqref="A32:D32 C33:C576">
    <cfRule type="expression" dxfId="149" priority="282">
      <formula>IF($C32="Riesgo",1,0)</formula>
    </cfRule>
  </conditionalFormatting>
  <conditionalFormatting sqref="A582:D582">
    <cfRule type="expression" dxfId="148" priority="326">
      <formula>IF($C582="Faltante",1,0)</formula>
    </cfRule>
  </conditionalFormatting>
  <conditionalFormatting sqref="B115:B117 B119:B123 D119:D123 B130 D130 B132 D132 B134:B136 D134:D136 B139 D139 B142 D142 B144 D144 B150 D150 B161:B162 D161:D162 B164 D164 B167 D167 B170 D170 B174 D174 B182:B184 D182:D184 B190 D190 B193 D193 B195 D195 B197:B198 D197:D198">
    <cfRule type="expression" dxfId="147" priority="278">
      <formula>IF($C115="Riesgo",1,0)</formula>
    </cfRule>
  </conditionalFormatting>
  <conditionalFormatting sqref="B363">
    <cfRule type="expression" dxfId="146" priority="435">
      <formula>IF($C363="Faltante",1,0)</formula>
    </cfRule>
    <cfRule type="expression" dxfId="145" priority="436">
      <formula>IF($C363="Riesgo",1,0)</formula>
    </cfRule>
  </conditionalFormatting>
  <conditionalFormatting sqref="B483:B492">
    <cfRule type="expression" dxfId="144" priority="83">
      <formula>IF($C483="Riesgo",1,0)</formula>
    </cfRule>
    <cfRule type="expression" dxfId="143" priority="84">
      <formula>IF($C483="Faltante",1,0)</formula>
    </cfRule>
  </conditionalFormatting>
  <conditionalFormatting sqref="B587">
    <cfRule type="expression" dxfId="142" priority="116">
      <formula>IF($C587="Faltante",1,0)</formula>
    </cfRule>
  </conditionalFormatting>
  <conditionalFormatting sqref="B589">
    <cfRule type="expression" dxfId="141" priority="7">
      <formula>IF($C589="Faltante",1,0)</formula>
    </cfRule>
  </conditionalFormatting>
  <conditionalFormatting sqref="B591">
    <cfRule type="expression" dxfId="140" priority="113">
      <formula>IF($C591="Faltante",1,0)</formula>
    </cfRule>
  </conditionalFormatting>
  <conditionalFormatting sqref="B593">
    <cfRule type="expression" dxfId="139" priority="6">
      <formula>IF($C593="Faltante",1,0)</formula>
    </cfRule>
  </conditionalFormatting>
  <conditionalFormatting sqref="B595">
    <cfRule type="expression" dxfId="138" priority="182">
      <formula>IF($C595="Faltante",1,0)</formula>
    </cfRule>
  </conditionalFormatting>
  <conditionalFormatting sqref="B598">
    <cfRule type="expression" dxfId="137" priority="179">
      <formula>IF($C598="Faltante",1,0)</formula>
    </cfRule>
  </conditionalFormatting>
  <conditionalFormatting sqref="B601">
    <cfRule type="expression" dxfId="136" priority="176">
      <formula>IF($C601="Faltante",1,0)</formula>
    </cfRule>
  </conditionalFormatting>
  <conditionalFormatting sqref="B604">
    <cfRule type="expression" dxfId="135" priority="173">
      <formula>IF($C604="Faltante",1,0)</formula>
    </cfRule>
  </conditionalFormatting>
  <conditionalFormatting sqref="B607">
    <cfRule type="expression" dxfId="134" priority="170">
      <formula>IF($C607="Faltante",1,0)</formula>
    </cfRule>
  </conditionalFormatting>
  <conditionalFormatting sqref="B610">
    <cfRule type="expression" dxfId="133" priority="11">
      <formula>IF($C610="Faltante",1,0)</formula>
    </cfRule>
  </conditionalFormatting>
  <conditionalFormatting sqref="B613">
    <cfRule type="expression" dxfId="132" priority="8">
      <formula>IF($C613="Faltante",1,0)</formula>
    </cfRule>
  </conditionalFormatting>
  <conditionalFormatting sqref="B616:B617">
    <cfRule type="expression" dxfId="131" priority="164">
      <formula>IF($C616="Faltante",1,0)</formula>
    </cfRule>
  </conditionalFormatting>
  <conditionalFormatting sqref="B633">
    <cfRule type="expression" dxfId="130" priority="105">
      <formula>IF($C633="Faltante",1,0)</formula>
    </cfRule>
  </conditionalFormatting>
  <conditionalFormatting sqref="B636">
    <cfRule type="expression" dxfId="129" priority="158">
      <formula>IF($C636="Faltante",1,0)</formula>
    </cfRule>
  </conditionalFormatting>
  <conditionalFormatting sqref="B640">
    <cfRule type="expression" dxfId="128" priority="103">
      <formula>IF($C640="Faltante",1,0)</formula>
    </cfRule>
  </conditionalFormatting>
  <conditionalFormatting sqref="B647">
    <cfRule type="expression" dxfId="127" priority="59">
      <formula>IF($C647="Faltante",1,0)</formula>
    </cfRule>
  </conditionalFormatting>
  <conditionalFormatting sqref="B663">
    <cfRule type="expression" dxfId="126" priority="4">
      <formula>IF($C663="Faltante",1,0)</formula>
    </cfRule>
    <cfRule type="expression" dxfId="125" priority="5">
      <formula>IF($C663="Riesgo",1,0)</formula>
    </cfRule>
  </conditionalFormatting>
  <conditionalFormatting sqref="B667">
    <cfRule type="expression" dxfId="124" priority="98">
      <formula>IF($C667="Faltante",1,0)</formula>
    </cfRule>
    <cfRule type="expression" dxfId="123" priority="99">
      <formula>IF($C667="Riesgo",1,0)</formula>
    </cfRule>
  </conditionalFormatting>
  <conditionalFormatting sqref="B670">
    <cfRule type="expression" dxfId="122" priority="94">
      <formula>IF($C670="Faltante",1,0)</formula>
    </cfRule>
  </conditionalFormatting>
  <conditionalFormatting sqref="B674">
    <cfRule type="expression" dxfId="121" priority="149">
      <formula>IF($C674="Faltante",1,0)</formula>
    </cfRule>
  </conditionalFormatting>
  <conditionalFormatting sqref="B680">
    <cfRule type="expression" dxfId="120" priority="3">
      <formula>IF($C680="Faltante",1,0)</formula>
    </cfRule>
  </conditionalFormatting>
  <conditionalFormatting sqref="B682">
    <cfRule type="expression" dxfId="119" priority="146">
      <formula>IF($C682="Faltante",1,0)</formula>
    </cfRule>
  </conditionalFormatting>
  <conditionalFormatting sqref="B693">
    <cfRule type="expression" dxfId="118" priority="47">
      <formula>IF($C693="Faltante",1,0)</formula>
    </cfRule>
  </conditionalFormatting>
  <conditionalFormatting sqref="B697">
    <cfRule type="expression" dxfId="117" priority="16">
      <formula>IF($C697="Faltante",1,0)</formula>
    </cfRule>
  </conditionalFormatting>
  <conditionalFormatting sqref="C577:C581">
    <cfRule type="expression" dxfId="116" priority="70">
      <formula>IF($C577="Faltante",1,0)</formula>
    </cfRule>
  </conditionalFormatting>
  <conditionalFormatting sqref="D112:D118">
    <cfRule type="expression" dxfId="115" priority="274">
      <formula>IF($C112="Riesgo",1,0)</formula>
    </cfRule>
  </conditionalFormatting>
  <conditionalFormatting sqref="D115:D117">
    <cfRule type="expression" dxfId="114" priority="273">
      <formula>IF($C115="Faltante",1,0)</formula>
    </cfRule>
  </conditionalFormatting>
  <conditionalFormatting sqref="D366:D368">
    <cfRule type="expression" dxfId="113" priority="782">
      <formula>IF($C366="Faltante",1,0)</formula>
    </cfRule>
    <cfRule type="expression" dxfId="112" priority="783">
      <formula>IF($C366="Riesgo",1,0)</formula>
    </cfRule>
  </conditionalFormatting>
  <conditionalFormatting sqref="D375:D376">
    <cfRule type="expression" dxfId="111" priority="424">
      <formula>IF($C375="Riesgo",1,0)</formula>
    </cfRule>
    <cfRule type="expression" dxfId="110" priority="423">
      <formula>IF($C375="Faltante",1,0)</formula>
    </cfRule>
  </conditionalFormatting>
  <conditionalFormatting sqref="D398:D404 D406:D413 D419:D421 D423:D426">
    <cfRule type="expression" dxfId="109" priority="1003" stopIfTrue="1">
      <formula>LEN(D398)&gt;40</formula>
    </cfRule>
  </conditionalFormatting>
  <conditionalFormatting sqref="D415:D417">
    <cfRule type="expression" dxfId="108" priority="1001" stopIfTrue="1">
      <formula>LEN(D415)&gt;40</formula>
    </cfRule>
  </conditionalFormatting>
  <conditionalFormatting sqref="D579:D580">
    <cfRule type="expression" dxfId="107" priority="341">
      <formula>IF($C579="Riesgo",1,0)</formula>
    </cfRule>
  </conditionalFormatting>
  <conditionalFormatting sqref="D582">
    <cfRule type="expression" dxfId="106" priority="328">
      <formula>IF($C582="Riesgo",1,0)</formula>
    </cfRule>
  </conditionalFormatting>
  <conditionalFormatting sqref="D314:E316">
    <cfRule type="expression" dxfId="105" priority="22">
      <formula>IF($C314="Faltante",1,0)</formula>
    </cfRule>
    <cfRule type="expression" dxfId="104" priority="21">
      <formula>IF($C314="Riesgo",1,0)</formula>
    </cfRule>
  </conditionalFormatting>
  <conditionalFormatting sqref="D354:E361">
    <cfRule type="expression" dxfId="103" priority="662">
      <formula>IF($C354="Faltante",1,0)</formula>
    </cfRule>
  </conditionalFormatting>
  <conditionalFormatting sqref="D362:E362">
    <cfRule type="expression" dxfId="102" priority="462">
      <formula>IF($C362="Riesgo",1,0)</formula>
    </cfRule>
    <cfRule type="expression" dxfId="101" priority="461">
      <formula>IF($C362="Faltante",1,0)</formula>
    </cfRule>
  </conditionalFormatting>
  <conditionalFormatting sqref="D363:E364 D373:E374">
    <cfRule type="expression" dxfId="100" priority="291">
      <formula>IF($C363="Faltante",1,0)</formula>
    </cfRule>
    <cfRule type="expression" dxfId="99" priority="292">
      <formula>IF($C363="Riesgo",1,0)</formula>
    </cfRule>
  </conditionalFormatting>
  <conditionalFormatting sqref="D365:E365 A365:B365">
    <cfRule type="expression" dxfId="98" priority="288">
      <formula>IF($C365="Riesgo",1,0)</formula>
    </cfRule>
  </conditionalFormatting>
  <conditionalFormatting sqref="D372:E372">
    <cfRule type="expression" dxfId="97" priority="456">
      <formula>IF($C372="Riesgo",1,0)</formula>
    </cfRule>
    <cfRule type="expression" dxfId="96" priority="455">
      <formula>IF($C372="Faltante",1,0)</formula>
    </cfRule>
  </conditionalFormatting>
  <conditionalFormatting sqref="D377:E377">
    <cfRule type="expression" dxfId="95" priority="449">
      <formula>IF($C377="Faltante",1,0)</formula>
    </cfRule>
    <cfRule type="expression" dxfId="94" priority="450">
      <formula>IF($C377="Riesgo",1,0)</formula>
    </cfRule>
  </conditionalFormatting>
  <conditionalFormatting sqref="D378:E379">
    <cfRule type="expression" dxfId="93" priority="79">
      <formula>IF($C378="Faltante",1,0)</formula>
    </cfRule>
  </conditionalFormatting>
  <conditionalFormatting sqref="D380:E380">
    <cfRule type="expression" dxfId="92" priority="443">
      <formula>IF($C380="Faltante",1,0)</formula>
    </cfRule>
    <cfRule type="expression" dxfId="91" priority="444">
      <formula>IF($C380="Riesgo",1,0)</formula>
    </cfRule>
  </conditionalFormatting>
  <conditionalFormatting sqref="D466:E470 D471 D472:E481">
    <cfRule type="expression" dxfId="90" priority="592">
      <formula>IF($C466="Riesgo",1,0)</formula>
    </cfRule>
    <cfRule type="expression" dxfId="89" priority="591">
      <formula>IF($C466="Faltante",1,0)</formula>
    </cfRule>
  </conditionalFormatting>
  <conditionalFormatting sqref="D515:E555">
    <cfRule type="expression" dxfId="88" priority="248">
      <formula>IF($C515="Faltante",1,0)</formula>
    </cfRule>
    <cfRule type="expression" dxfId="87" priority="249">
      <formula>IF($C515="Riesgo",1,0)</formula>
    </cfRule>
  </conditionalFormatting>
  <conditionalFormatting sqref="D557:E572">
    <cfRule type="expression" dxfId="86" priority="212">
      <formula>IF($C557="Riesgo",1,0)</formula>
    </cfRule>
    <cfRule type="expression" dxfId="85" priority="211">
      <formula>IF($C557="Faltante",1,0)</formula>
    </cfRule>
  </conditionalFormatting>
  <conditionalFormatting sqref="D573:M573">
    <cfRule type="expression" dxfId="84" priority="756">
      <formula>IF($C573="Riesgo",1,0)</formula>
    </cfRule>
    <cfRule type="expression" dxfId="83" priority="755">
      <formula>IF($C573="Faltante",1,0)</formula>
    </cfRule>
  </conditionalFormatting>
  <conditionalFormatting sqref="E32">
    <cfRule type="expression" dxfId="82" priority="1006">
      <formula>IF(#REF!="Faltante",1,0)</formula>
    </cfRule>
    <cfRule type="expression" dxfId="81" priority="1016">
      <formula>IF(#REF!="Riesgo",1,0)</formula>
    </cfRule>
  </conditionalFormatting>
  <conditionalFormatting sqref="E33">
    <cfRule type="expression" dxfId="80" priority="1009">
      <formula>IF($C32="Faltante",1,0)</formula>
    </cfRule>
    <cfRule type="expression" dxfId="79" priority="1018">
      <formula>IF($C32="Riesgo",1,0)</formula>
    </cfRule>
  </conditionalFormatting>
  <conditionalFormatting sqref="E34:E110 A355:A361 A373:A376 D381:E465 A398:A404 A406:A413 A419:A421 A423:A426 A443:A449 A451:A456 A511:B511 A577:B577 D577:E577 D354:E361">
    <cfRule type="expression" dxfId="78" priority="998">
      <formula>IF($C34="Riesgo",1,0)</formula>
    </cfRule>
  </conditionalFormatting>
  <conditionalFormatting sqref="E34:E110 A354:B361 A364:B364 A373:B376 A378:B379 A381:B456 D381:E456 A458:B465 D458:E465 A493:B514 D493:E514 A577:B577 D577:E577 B630">
    <cfRule type="expression" dxfId="77" priority="908">
      <formula>IF($C34="Faltante",1,0)</formula>
    </cfRule>
  </conditionalFormatting>
  <conditionalFormatting sqref="E112:E198">
    <cfRule type="expression" dxfId="76" priority="533">
      <formula>IF($C112="Faltante",1,0)</formula>
    </cfRule>
    <cfRule type="expression" dxfId="75" priority="534">
      <formula>IF($C112="Riesgo",1,0)</formula>
    </cfRule>
  </conditionalFormatting>
  <conditionalFormatting sqref="E317 E319:E348 E351:E353">
    <cfRule type="expression" dxfId="74" priority="265">
      <formula>IF($C317="Riesgo",1,0)</formula>
    </cfRule>
    <cfRule type="expression" dxfId="73" priority="264">
      <formula>IF($C317="Faltante",1,0)</formula>
    </cfRule>
  </conditionalFormatting>
  <conditionalFormatting sqref="E365">
    <cfRule type="expression" dxfId="72" priority="287">
      <formula>IF($C365="Faltante",1,0)</formula>
    </cfRule>
  </conditionalFormatting>
  <conditionalFormatting sqref="E366:E368">
    <cfRule type="expression" dxfId="71" priority="664">
      <formula>IF($C366="Riesgo",1,0)</formula>
    </cfRule>
    <cfRule type="expression" dxfId="70" priority="663">
      <formula>IF($C366="Faltante",1,0)</formula>
    </cfRule>
  </conditionalFormatting>
  <conditionalFormatting sqref="E375:E376">
    <cfRule type="expression" dxfId="69" priority="78">
      <formula>IF($C375="Riesgo",1,0)</formula>
    </cfRule>
    <cfRule type="expression" dxfId="68" priority="77">
      <formula>IF($C375="Faltante",1,0)</formula>
    </cfRule>
  </conditionalFormatting>
  <conditionalFormatting sqref="E378:E379">
    <cfRule type="expression" dxfId="67" priority="80">
      <formula>IF($C378="Riesgo",1,0)</formula>
    </cfRule>
  </conditionalFormatting>
  <conditionalFormatting sqref="E471">
    <cfRule type="expression" dxfId="66" priority="19">
      <formula>IF($C471="Faltante",1,0)</formula>
    </cfRule>
    <cfRule type="expression" dxfId="65" priority="20">
      <formula>IF($C471="Riesgo",1,0)</formula>
    </cfRule>
  </conditionalFormatting>
  <conditionalFormatting sqref="E483:E492">
    <cfRule type="expression" dxfId="64" priority="85">
      <formula>IF($C483="Faltante",1,0)</formula>
    </cfRule>
    <cfRule type="expression" dxfId="63" priority="86">
      <formula>IF($C483="Riesgo",1,0)</formula>
    </cfRule>
  </conditionalFormatting>
  <conditionalFormatting sqref="E556">
    <cfRule type="expression" dxfId="62" priority="260">
      <formula>IF($C556="Faltante",1,0)</formula>
    </cfRule>
    <cfRule type="expression" dxfId="61" priority="261">
      <formula>IF($C556="Riesgo",1,0)</formula>
    </cfRule>
  </conditionalFormatting>
  <conditionalFormatting sqref="E582">
    <cfRule type="expression" dxfId="60" priority="1">
      <formula>IF($C582="Faltante",1,0)</formula>
    </cfRule>
    <cfRule type="expression" dxfId="59" priority="2">
      <formula>IF($C582="Riesgo",1,0)</formula>
    </cfRule>
  </conditionalFormatting>
  <conditionalFormatting sqref="E637:E638">
    <cfRule type="expression" dxfId="58" priority="61">
      <formula>IF($C637="Faltante",1,0)</formula>
    </cfRule>
    <cfRule type="expression" dxfId="57" priority="62">
      <formula>IF($C637="Riesgo",1,0)</formula>
    </cfRule>
  </conditionalFormatting>
  <conditionalFormatting sqref="E655:E660">
    <cfRule type="expression" dxfId="56" priority="68">
      <formula>IF($C655="Faltante",1,0)</formula>
    </cfRule>
    <cfRule type="expression" dxfId="55" priority="69">
      <formula>IF($C655="Riesgo",1,0)</formula>
    </cfRule>
  </conditionalFormatting>
  <conditionalFormatting sqref="E662">
    <cfRule type="expression" dxfId="54" priority="66">
      <formula>IF($C662="Faltante",1,0)</formula>
    </cfRule>
    <cfRule type="expression" dxfId="53" priority="67">
      <formula>IF($C662="Riesgo",1,0)</formula>
    </cfRule>
  </conditionalFormatting>
  <conditionalFormatting sqref="E482:M482">
    <cfRule type="duplicateValues" dxfId="52" priority="81"/>
  </conditionalFormatting>
  <conditionalFormatting sqref="F111">
    <cfRule type="expression" dxfId="51" priority="130">
      <formula>IF($C111="Riesgo",1,0)</formula>
    </cfRule>
  </conditionalFormatting>
  <conditionalFormatting sqref="F267">
    <cfRule type="expression" dxfId="50" priority="124">
      <formula>IF($C267="Riesgo",1,0)</formula>
    </cfRule>
  </conditionalFormatting>
  <conditionalFormatting sqref="F466">
    <cfRule type="expression" dxfId="49" priority="129">
      <formula>IF($C466="Riesgo",1,0)</formula>
    </cfRule>
  </conditionalFormatting>
  <conditionalFormatting sqref="F586">
    <cfRule type="expression" dxfId="48" priority="31">
      <formula>$F586&gt;=15000</formula>
    </cfRule>
    <cfRule type="cellIs" dxfId="47" priority="30" operator="greaterThan">
      <formula>0</formula>
    </cfRule>
  </conditionalFormatting>
  <conditionalFormatting sqref="F590">
    <cfRule type="expression" dxfId="46" priority="33">
      <formula>$F590&gt;=15000</formula>
    </cfRule>
    <cfRule type="cellIs" dxfId="45" priority="32" operator="greaterThan">
      <formula>0</formula>
    </cfRule>
  </conditionalFormatting>
  <conditionalFormatting sqref="F594">
    <cfRule type="expression" dxfId="44" priority="183">
      <formula>$F594&gt;=15000</formula>
    </cfRule>
  </conditionalFormatting>
  <conditionalFormatting sqref="F597">
    <cfRule type="expression" dxfId="43" priority="180">
      <formula>$F597&gt;=15000</formula>
    </cfRule>
  </conditionalFormatting>
  <conditionalFormatting sqref="F600">
    <cfRule type="expression" dxfId="42" priority="177">
      <formula>$F600&gt;=15000</formula>
    </cfRule>
  </conditionalFormatting>
  <conditionalFormatting sqref="F603">
    <cfRule type="expression" dxfId="41" priority="174">
      <formula>$F603&gt;=15000</formula>
    </cfRule>
  </conditionalFormatting>
  <conditionalFormatting sqref="F606">
    <cfRule type="expression" dxfId="40" priority="171">
      <formula>$F606&gt;=15000</formula>
    </cfRule>
  </conditionalFormatting>
  <conditionalFormatting sqref="F609">
    <cfRule type="expression" dxfId="39" priority="12">
      <formula>$F609&gt;=15000</formula>
    </cfRule>
  </conditionalFormatting>
  <conditionalFormatting sqref="F612">
    <cfRule type="expression" dxfId="38" priority="9">
      <formula>$F612&gt;=15000</formula>
    </cfRule>
  </conditionalFormatting>
  <conditionalFormatting sqref="F615">
    <cfRule type="expression" dxfId="37" priority="27">
      <formula>$F615&gt;=15000</formula>
    </cfRule>
    <cfRule type="cellIs" dxfId="36" priority="26" operator="greaterThan">
      <formula>0</formula>
    </cfRule>
  </conditionalFormatting>
  <conditionalFormatting sqref="F629">
    <cfRule type="expression" dxfId="35" priority="29">
      <formula>$F629&gt;=15000</formula>
    </cfRule>
    <cfRule type="cellIs" dxfId="34" priority="28" operator="greaterThan">
      <formula>0</formula>
    </cfRule>
  </conditionalFormatting>
  <conditionalFormatting sqref="F632">
    <cfRule type="expression" dxfId="33" priority="119">
      <formula>$F632&gt;=54</formula>
    </cfRule>
  </conditionalFormatting>
  <conditionalFormatting sqref="F635">
    <cfRule type="expression" dxfId="32" priority="157">
      <formula>$F635&gt;=21000</formula>
    </cfRule>
  </conditionalFormatting>
  <conditionalFormatting sqref="F639">
    <cfRule type="cellIs" dxfId="31" priority="34" operator="greaterThan">
      <formula>0</formula>
    </cfRule>
    <cfRule type="expression" dxfId="30" priority="35">
      <formula>$F639&gt;=15000</formula>
    </cfRule>
  </conditionalFormatting>
  <conditionalFormatting sqref="F646">
    <cfRule type="cellIs" dxfId="29" priority="36" operator="greaterThan">
      <formula>0</formula>
    </cfRule>
    <cfRule type="expression" dxfId="28" priority="37">
      <formula>$F646&gt;=15000</formula>
    </cfRule>
  </conditionalFormatting>
  <conditionalFormatting sqref="F653">
    <cfRule type="cellIs" dxfId="27" priority="96" operator="greaterThanOrEqual">
      <formula>3</formula>
    </cfRule>
  </conditionalFormatting>
  <conditionalFormatting sqref="F668">
    <cfRule type="expression" dxfId="26" priority="93">
      <formula>$F668&gt;=9000</formula>
    </cfRule>
  </conditionalFormatting>
  <conditionalFormatting sqref="F669">
    <cfRule type="cellIs" dxfId="25" priority="38" operator="greaterThan">
      <formula>0</formula>
    </cfRule>
    <cfRule type="expression" dxfId="24" priority="39">
      <formula>$F669&gt;=15000</formula>
    </cfRule>
  </conditionalFormatting>
  <conditionalFormatting sqref="F673">
    <cfRule type="cellIs" dxfId="23" priority="40" operator="greaterThan">
      <formula>0</formula>
    </cfRule>
    <cfRule type="expression" dxfId="22" priority="41">
      <formula>$F673&gt;=15000</formula>
    </cfRule>
  </conditionalFormatting>
  <conditionalFormatting sqref="F681">
    <cfRule type="cellIs" dxfId="21" priority="42" operator="greaterThan">
      <formula>0</formula>
    </cfRule>
    <cfRule type="expression" dxfId="20" priority="43">
      <formula>$F681&gt;=15000</formula>
    </cfRule>
  </conditionalFormatting>
  <conditionalFormatting sqref="F689">
    <cfRule type="expression" dxfId="19" priority="45">
      <formula>$F689&gt;=15000</formula>
    </cfRule>
    <cfRule type="cellIs" dxfId="18" priority="44" operator="greaterThan">
      <formula>0</formula>
    </cfRule>
  </conditionalFormatting>
  <conditionalFormatting sqref="F692">
    <cfRule type="expression" dxfId="17" priority="52">
      <formula>$F692&gt;=15000</formula>
    </cfRule>
    <cfRule type="cellIs" dxfId="16" priority="46" operator="greaterThan">
      <formula>0</formula>
    </cfRule>
  </conditionalFormatting>
  <conditionalFormatting sqref="F696">
    <cfRule type="cellIs" dxfId="15" priority="15" operator="greaterThan">
      <formula>0</formula>
    </cfRule>
    <cfRule type="expression" dxfId="14" priority="18">
      <formula>$F696&gt;=15000</formula>
    </cfRule>
  </conditionalFormatting>
  <conditionalFormatting sqref="F699">
    <cfRule type="expression" dxfId="13" priority="557">
      <formula>F699&gt;=7000</formula>
    </cfRule>
  </conditionalFormatting>
  <conditionalFormatting sqref="F543:M543">
    <cfRule type="expression" dxfId="12" priority="126">
      <formula>IF($C543="Riesgo",1,0)</formula>
    </cfRule>
    <cfRule type="expression" dxfId="11" priority="125">
      <formula>IF($C543="Faltante",1,0)</formula>
    </cfRule>
  </conditionalFormatting>
  <conditionalFormatting sqref="F550:M550">
    <cfRule type="expression" dxfId="10" priority="128">
      <formula>IF($C550="Riesgo",1,0)</formula>
    </cfRule>
    <cfRule type="expression" dxfId="9" priority="127">
      <formula>IF($C550="Faltante",1,0)</formula>
    </cfRule>
  </conditionalFormatting>
  <conditionalFormatting sqref="F570:M570">
    <cfRule type="expression" dxfId="8" priority="219">
      <formula>IF($C570="Faltante",1,0)</formula>
    </cfRule>
    <cfRule type="expression" dxfId="7" priority="220">
      <formula>IF($C570="Riesgo",1,0)</formula>
    </cfRule>
  </conditionalFormatting>
  <conditionalFormatting sqref="H699">
    <cfRule type="iconSet" priority="572">
      <iconSet showValue="0">
        <cfvo type="percent" val="0"/>
        <cfvo type="num" val="0" gte="0"/>
        <cfvo type="num" val="7000"/>
      </iconSet>
    </cfRule>
  </conditionalFormatting>
  <conditionalFormatting sqref="I586">
    <cfRule type="iconSet" priority="117">
      <iconSet showValue="0">
        <cfvo type="percent" val="0"/>
        <cfvo type="num" val="0" gte="0"/>
        <cfvo type="num" val="18000"/>
      </iconSet>
    </cfRule>
  </conditionalFormatting>
  <conditionalFormatting sqref="I590">
    <cfRule type="iconSet" priority="114">
      <iconSet showValue="0">
        <cfvo type="percent" val="0"/>
        <cfvo type="num" val="0" gte="0"/>
        <cfvo type="num" val="30000"/>
      </iconSet>
    </cfRule>
  </conditionalFormatting>
  <conditionalFormatting sqref="I594">
    <cfRule type="iconSet" priority="184">
      <iconSet showValue="0">
        <cfvo type="percent" val="0"/>
        <cfvo type="num" val="0" gte="0"/>
        <cfvo type="num" val="48"/>
      </iconSet>
    </cfRule>
  </conditionalFormatting>
  <conditionalFormatting sqref="I597">
    <cfRule type="iconSet" priority="181">
      <iconSet showValue="0">
        <cfvo type="percent" val="0"/>
        <cfvo type="num" val="0" gte="0"/>
        <cfvo type="num" val="246"/>
      </iconSet>
    </cfRule>
  </conditionalFormatting>
  <conditionalFormatting sqref="I600">
    <cfRule type="iconSet" priority="178">
      <iconSet showValue="0">
        <cfvo type="percent" val="0"/>
        <cfvo type="num" val="0" gte="0"/>
        <cfvo type="num" val="366"/>
      </iconSet>
    </cfRule>
  </conditionalFormatting>
  <conditionalFormatting sqref="I603">
    <cfRule type="iconSet" priority="175">
      <iconSet showValue="0">
        <cfvo type="percent" val="0"/>
        <cfvo type="num" val="0" gte="0"/>
        <cfvo type="num" val="32"/>
      </iconSet>
    </cfRule>
  </conditionalFormatting>
  <conditionalFormatting sqref="I606">
    <cfRule type="iconSet" priority="172">
      <iconSet showValue="0">
        <cfvo type="percent" val="0"/>
        <cfvo type="num" val="0" gte="0"/>
        <cfvo type="num" val="161"/>
      </iconSet>
    </cfRule>
  </conditionalFormatting>
  <conditionalFormatting sqref="I609">
    <cfRule type="iconSet" priority="13">
      <iconSet showValue="0">
        <cfvo type="percent" val="0"/>
        <cfvo type="num" val="0" gte="0"/>
        <cfvo type="num" val="161"/>
      </iconSet>
    </cfRule>
  </conditionalFormatting>
  <conditionalFormatting sqref="I612">
    <cfRule type="iconSet" priority="10">
      <iconSet showValue="0">
        <cfvo type="percent" val="0"/>
        <cfvo type="num" val="0" gte="0"/>
        <cfvo type="num" val="161"/>
      </iconSet>
    </cfRule>
  </conditionalFormatting>
  <conditionalFormatting sqref="I615">
    <cfRule type="iconSet" priority="165">
      <iconSet showValue="0">
        <cfvo type="percent" val="0"/>
        <cfvo type="num" val="0" gte="0"/>
        <cfvo type="num" val="21"/>
      </iconSet>
    </cfRule>
  </conditionalFormatting>
  <conditionalFormatting sqref="I629">
    <cfRule type="iconSet" priority="109">
      <iconSet showValue="0">
        <cfvo type="percent" val="0"/>
        <cfvo type="num" val="0" gte="0"/>
        <cfvo type="num" val="7"/>
      </iconSet>
    </cfRule>
  </conditionalFormatting>
  <conditionalFormatting sqref="I632">
    <cfRule type="iconSet" priority="87">
      <iconSet showValue="0">
        <cfvo type="percent" val="0"/>
        <cfvo type="num" val="0" gte="0"/>
        <cfvo type="num" val="1"/>
      </iconSet>
    </cfRule>
  </conditionalFormatting>
  <conditionalFormatting sqref="I635">
    <cfRule type="iconSet" priority="159">
      <iconSet showValue="0">
        <cfvo type="percent" val="0"/>
        <cfvo type="num" val="0" gte="0"/>
        <cfvo type="num" val="2"/>
      </iconSet>
    </cfRule>
  </conditionalFormatting>
  <conditionalFormatting sqref="I639">
    <cfRule type="iconSet" priority="101">
      <iconSet showValue="0">
        <cfvo type="percent" val="0"/>
        <cfvo type="num" val="0" gte="0"/>
        <cfvo type="num" val="20000"/>
      </iconSet>
    </cfRule>
  </conditionalFormatting>
  <conditionalFormatting sqref="I646">
    <cfRule type="iconSet" priority="57">
      <iconSet showValue="0">
        <cfvo type="percent" val="0"/>
        <cfvo type="num" val="0" gte="0"/>
        <cfvo type="num" val="28000"/>
      </iconSet>
    </cfRule>
  </conditionalFormatting>
  <conditionalFormatting sqref="I653">
    <cfRule type="iconSet" priority="97">
      <iconSet showValue="0">
        <cfvo type="percent" val="0"/>
        <cfvo type="num" val="0" gte="0"/>
        <cfvo type="num" val="1"/>
      </iconSet>
    </cfRule>
  </conditionalFormatting>
  <conditionalFormatting sqref="I668">
    <cfRule type="iconSet" priority="153">
      <iconSet showValue="0">
        <cfvo type="percent" val="0"/>
        <cfvo type="num" val="0" gte="0"/>
        <cfvo type="num" val="9000"/>
      </iconSet>
    </cfRule>
  </conditionalFormatting>
  <conditionalFormatting sqref="I669">
    <cfRule type="iconSet" priority="95">
      <iconSet showValue="0">
        <cfvo type="percent" val="0"/>
        <cfvo type="num" val="0" gte="0"/>
        <cfvo type="num" val="16000"/>
      </iconSet>
    </cfRule>
  </conditionalFormatting>
  <conditionalFormatting sqref="I673">
    <cfRule type="iconSet" priority="90">
      <iconSet showValue="0">
        <cfvo type="percent" val="0"/>
        <cfvo type="num" val="0" gte="0"/>
        <cfvo type="num" val="9000"/>
      </iconSet>
    </cfRule>
  </conditionalFormatting>
  <conditionalFormatting sqref="I681">
    <cfRule type="iconSet" priority="89">
      <iconSet showValue="0">
        <cfvo type="percent" val="0"/>
        <cfvo type="num" val="0" gte="0"/>
        <cfvo type="num" val="15000"/>
      </iconSet>
    </cfRule>
  </conditionalFormatting>
  <conditionalFormatting sqref="I689">
    <cfRule type="iconSet" priority="50">
      <iconSet showValue="0">
        <cfvo type="percent" val="0"/>
        <cfvo type="num" val="0" gte="0"/>
        <cfvo type="num" val="8000"/>
      </iconSet>
    </cfRule>
  </conditionalFormatting>
  <conditionalFormatting sqref="I692">
    <cfRule type="iconSet" priority="49">
      <iconSet showValue="0">
        <cfvo type="percent" val="0"/>
        <cfvo type="num" val="0" gte="0"/>
        <cfvo type="num" val="15000"/>
      </iconSet>
    </cfRule>
  </conditionalFormatting>
  <conditionalFormatting sqref="I696">
    <cfRule type="iconSet" priority="17">
      <iconSet showValue="0">
        <cfvo type="percent" val="0"/>
        <cfvo type="num" val="0" gte="0"/>
        <cfvo type="num" val="19000"/>
      </iconSet>
    </cfRule>
  </conditionalFormatting>
  <conditionalFormatting sqref="N615">
    <cfRule type="expression" dxfId="6" priority="110">
      <formula>$F615&gt;=21</formula>
    </cfRule>
  </conditionalFormatting>
  <conditionalFormatting sqref="N629">
    <cfRule type="expression" dxfId="5" priority="107">
      <formula>$F629&gt;=21</formula>
    </cfRule>
  </conditionalFormatting>
  <conditionalFormatting sqref="N639">
    <cfRule type="expression" dxfId="4" priority="60">
      <formula>$F639&gt;=7</formula>
    </cfRule>
  </conditionalFormatting>
  <conditionalFormatting sqref="N669">
    <cfRule type="expression" dxfId="3" priority="55">
      <formula>$F669&gt;=16000</formula>
    </cfRule>
  </conditionalFormatting>
  <conditionalFormatting sqref="N673">
    <cfRule type="expression" dxfId="2" priority="88">
      <formula>$F673&gt;=16000</formula>
    </cfRule>
  </conditionalFormatting>
  <conditionalFormatting sqref="N689">
    <cfRule type="expression" dxfId="1" priority="48">
      <formula>$F689&gt;=16000</formula>
    </cfRule>
  </conditionalFormatting>
  <conditionalFormatting sqref="N696:O696">
    <cfRule type="expression" dxfId="0" priority="14">
      <formula>$F696&gt;=16000</formula>
    </cfRule>
  </conditionalFormatting>
  <dataValidations disablePrompts="1" count="5">
    <dataValidation type="list" allowBlank="1" showInputMessage="1" showErrorMessage="1" sqref="D9" xr:uid="{00000000-0002-0000-0000-000000000000}">
      <formula1>$R$6:$R$7</formula1>
    </dataValidation>
    <dataValidation type="list" allowBlank="1" showInputMessage="1" showErrorMessage="1" sqref="M22:M26" xr:uid="{00000000-0002-0000-0000-000001000000}">
      <formula1>$O$21:$O$27</formula1>
    </dataValidation>
    <dataValidation type="list" allowBlank="1" showInputMessage="1" showErrorMessage="1" sqref="M14 M18" xr:uid="{00000000-0002-0000-0000-000002000000}">
      <formula1>$O$7:$O$11</formula1>
    </dataValidation>
    <dataValidation type="textLength" allowBlank="1" showInputMessage="1" showErrorMessage="1" sqref="D398:D404 D415:D417 D421 D423:D426 D406:D413" xr:uid="{00000000-0002-0000-0000-000003000000}">
      <formula1>0</formula1>
      <formula2>40</formula2>
    </dataValidation>
    <dataValidation allowBlank="1" showInputMessage="1" showErrorMessage="1" errorTitle="ERROR" error="SOLO PUEDES ELEGIR UNA PROMOCION" sqref="H654" xr:uid="{1B8561DC-2A2C-4385-97FD-4A608F71DD52}"/>
  </dataValidations>
  <pageMargins left="0.7" right="0.7" top="0.75" bottom="0.75" header="0.3" footer="0.3"/>
  <pageSetup orientation="portrait" r:id="rId1"/>
  <ignoredErrors>
    <ignoredError sqref="M475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Lopez</dc:creator>
  <cp:lastModifiedBy>Microsoft Office User</cp:lastModifiedBy>
  <dcterms:created xsi:type="dcterms:W3CDTF">2024-04-29T17:33:39Z</dcterms:created>
  <dcterms:modified xsi:type="dcterms:W3CDTF">2026-09-04T16:27:56Z</dcterms:modified>
</cp:coreProperties>
</file>